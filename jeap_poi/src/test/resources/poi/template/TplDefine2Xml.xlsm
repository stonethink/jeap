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filterPrivacy="1" codeName="ThisWorkbook" hidePivotFieldList="1" defaultThemeVersion="124226"/>
  <bookViews>
    <workbookView xWindow="240" yWindow="2532" windowWidth="14808" windowHeight="5376" tabRatio="433" xr2:uid="{00000000-000D-0000-FFFF-FFFF00000000}"/>
  </bookViews>
  <sheets>
    <sheet name="Config" sheetId="2" r:id="rId1"/>
    <sheet name="ErrorLog" sheetId="5" r:id="rId2"/>
    <sheet name="FDExpDB(EXP_TC)" sheetId="38" state="hidden" r:id="rId3"/>
    <sheet name="FExpDB(EXP_EMP_TC)" sheetId="39" state="hidden" r:id="rId4"/>
    <sheet name="ImpLog(BySheet)" sheetId="6" r:id="rId5"/>
    <sheet name="ImpLog(ByRow)" sheetId="8" r:id="rId6"/>
  </sheets>
  <functionGroups builtInGroupCount="19"/>
  <definedNames>
    <definedName name="_xlnm._FilterDatabase" localSheetId="1" hidden="1">ErrorLog!$F$3:$J$3</definedName>
    <definedName name="_xlnm._FilterDatabase" localSheetId="4" hidden="1">'ImpLog(BySheet)'!$A$3:$R$3</definedName>
  </definedNames>
  <calcPr calcId="171027" calcMode="manual"/>
</workbook>
</file>

<file path=xl/calcChain.xml><?xml version="1.0" encoding="utf-8"?>
<calcChain xmlns="http://schemas.openxmlformats.org/spreadsheetml/2006/main">
  <c r="I11" i="38" l="1"/>
  <c r="I12" i="38" s="1"/>
  <c r="I13" i="38" s="1"/>
  <c r="I14" i="38" s="1"/>
  <c r="I15" i="38" s="1"/>
  <c r="I16" i="38" s="1"/>
  <c r="I17" i="38" s="1"/>
  <c r="I18" i="38" s="1"/>
  <c r="I19" i="38" s="1"/>
  <c r="I20" i="38" s="1"/>
  <c r="I21" i="38" s="1"/>
  <c r="I22" i="38" s="1"/>
  <c r="I23" i="38" s="1"/>
  <c r="I24" i="38" s="1"/>
  <c r="I25" i="38" s="1"/>
  <c r="I26" i="38" s="1"/>
  <c r="I27" i="38" s="1"/>
  <c r="I28" i="38" s="1"/>
  <c r="I29" i="38" s="1"/>
  <c r="I30" i="38" s="1"/>
  <c r="I31" i="38" s="1"/>
  <c r="I32" i="38" s="1"/>
  <c r="I33" i="38" s="1"/>
  <c r="I34" i="38" s="1"/>
  <c r="I35" i="38" s="1"/>
  <c r="I36" i="38" s="1"/>
  <c r="I37" i="38" s="1"/>
  <c r="I38" i="38" s="1"/>
  <c r="I39" i="38" s="1"/>
  <c r="I40" i="38" s="1"/>
  <c r="I41" i="38" s="1"/>
  <c r="I42" i="38" s="1"/>
  <c r="I43" i="38" s="1"/>
  <c r="I44" i="38" s="1"/>
  <c r="I45" i="38" s="1"/>
  <c r="I46" i="38" s="1"/>
  <c r="I47" i="38" s="1"/>
  <c r="I48" i="38" s="1"/>
  <c r="I49" i="38" s="1"/>
  <c r="I50" i="38" s="1"/>
  <c r="I51" i="38" s="1"/>
  <c r="I52" i="38" s="1"/>
  <c r="I53" i="38" s="1"/>
  <c r="I54" i="38" s="1"/>
  <c r="I55" i="38" s="1"/>
  <c r="I56" i="38" s="1"/>
  <c r="I57" i="38" s="1"/>
  <c r="I58" i="38" s="1"/>
  <c r="I59" i="38" s="1"/>
  <c r="I60" i="38" s="1"/>
  <c r="I61" i="38" s="1"/>
  <c r="I62" i="38" s="1"/>
  <c r="I63" i="38" s="1"/>
  <c r="I64" i="38" s="1"/>
  <c r="I65" i="38" s="1"/>
  <c r="I66" i="38" s="1"/>
  <c r="I67" i="38" s="1"/>
  <c r="I68" i="38" s="1"/>
  <c r="I69" i="38" s="1"/>
  <c r="I70" i="38" s="1"/>
  <c r="I71" i="38" s="1"/>
  <c r="I72" i="38" s="1"/>
  <c r="I73" i="38" s="1"/>
  <c r="I74" i="38" s="1"/>
  <c r="I75" i="38" s="1"/>
  <c r="I76" i="38" s="1"/>
  <c r="I77" i="38" s="1"/>
  <c r="I78" i="38" s="1"/>
  <c r="I79" i="38" s="1"/>
  <c r="I80" i="38" s="1"/>
  <c r="I81" i="38" s="1"/>
  <c r="I82" i="38" s="1"/>
  <c r="I83" i="38" s="1"/>
  <c r="I84" i="38" s="1"/>
  <c r="I85" i="38" s="1"/>
  <c r="I86" i="38" s="1"/>
  <c r="I87" i="38" s="1"/>
  <c r="I88" i="38" s="1"/>
  <c r="I89" i="38" s="1"/>
  <c r="I90" i="38" s="1"/>
  <c r="I91" i="38" s="1"/>
  <c r="I92" i="38" s="1"/>
  <c r="I93" i="38" s="1"/>
  <c r="I94" i="38" s="1"/>
  <c r="I95" i="38" s="1"/>
  <c r="I96" i="38" s="1"/>
  <c r="I97" i="38" s="1"/>
  <c r="I98" i="38" s="1"/>
  <c r="I99" i="38" s="1"/>
  <c r="I100" i="38" s="1"/>
  <c r="I101" i="38" s="1"/>
  <c r="I102" i="38" s="1"/>
  <c r="I103" i="38" s="1"/>
  <c r="I104" i="38" s="1"/>
  <c r="I105" i="38" s="1"/>
  <c r="I106" i="38" s="1"/>
  <c r="I107" i="38" s="1"/>
  <c r="I108" i="38" s="1"/>
  <c r="I109" i="38" s="1"/>
  <c r="I110" i="38" s="1"/>
  <c r="I111" i="38" s="1"/>
  <c r="I112" i="38" s="1"/>
  <c r="I113" i="38" s="1"/>
  <c r="I114" i="38" s="1"/>
  <c r="I115" i="38" s="1"/>
  <c r="I116" i="38" s="1"/>
  <c r="I117" i="38" s="1"/>
  <c r="I118" i="38" s="1"/>
  <c r="I119" i="38" s="1"/>
  <c r="I120" i="38" s="1"/>
  <c r="I121" i="38" s="1"/>
  <c r="I122" i="38" s="1"/>
  <c r="I123" i="38" s="1"/>
  <c r="I124" i="38" s="1"/>
  <c r="I125" i="38" s="1"/>
  <c r="I126" i="38" s="1"/>
  <c r="I127" i="38" s="1"/>
  <c r="I128" i="38" s="1"/>
  <c r="I129" i="38" s="1"/>
  <c r="I130" i="38" s="1"/>
  <c r="I131" i="38" s="1"/>
  <c r="I132" i="38" s="1"/>
  <c r="I133" i="38" s="1"/>
  <c r="I134" i="38" s="1"/>
  <c r="I135" i="38" s="1"/>
  <c r="I136" i="38" s="1"/>
  <c r="I137" i="38" s="1"/>
  <c r="I138" i="38" s="1"/>
  <c r="I139" i="38" s="1"/>
  <c r="I140" i="38" s="1"/>
  <c r="I141" i="38" s="1"/>
  <c r="I142" i="38" s="1"/>
  <c r="I143" i="38" s="1"/>
  <c r="I144" i="38" s="1"/>
  <c r="I145" i="38" s="1"/>
  <c r="I146" i="38" s="1"/>
  <c r="I147" i="38" s="1"/>
  <c r="I148" i="38" s="1"/>
  <c r="I149" i="38" s="1"/>
  <c r="I150" i="38" s="1"/>
  <c r="I151" i="38" s="1"/>
  <c r="I152" i="38" s="1"/>
  <c r="I153" i="38" s="1"/>
  <c r="I154" i="38" s="1"/>
  <c r="I155" i="38" s="1"/>
  <c r="I156" i="38" s="1"/>
  <c r="I157" i="38" s="1"/>
  <c r="I158" i="38" s="1"/>
  <c r="I159" i="38" s="1"/>
  <c r="I160" i="38" s="1"/>
  <c r="I161" i="38" s="1"/>
  <c r="I162" i="38" s="1"/>
  <c r="I163" i="38" s="1"/>
  <c r="I164" i="38" s="1"/>
  <c r="I165" i="38" s="1"/>
  <c r="I166" i="38" s="1"/>
  <c r="I167" i="38" s="1"/>
  <c r="I168" i="38" s="1"/>
  <c r="I169" i="38" s="1"/>
  <c r="I170" i="38" s="1"/>
  <c r="I171" i="38" s="1"/>
  <c r="I172" i="38" s="1"/>
  <c r="I173" i="38" s="1"/>
  <c r="I174" i="38" s="1"/>
  <c r="I175" i="38" s="1"/>
  <c r="I176" i="38" s="1"/>
  <c r="I177" i="38" s="1"/>
  <c r="I178" i="38" s="1"/>
  <c r="I179" i="38" s="1"/>
  <c r="I180" i="38" s="1"/>
  <c r="I181" i="38" s="1"/>
  <c r="I182" i="38" s="1"/>
  <c r="I183" i="38" s="1"/>
  <c r="I184" i="38" s="1"/>
  <c r="I185" i="38" s="1"/>
  <c r="I186" i="38" s="1"/>
  <c r="I187" i="38" s="1"/>
  <c r="I188" i="38" s="1"/>
  <c r="I189" i="38" s="1"/>
  <c r="HS5" i="38"/>
  <c r="GU5" i="38"/>
  <c r="GN5" i="38"/>
  <c r="GC5" i="38"/>
  <c r="AX5" i="38"/>
  <c r="AH5" i="38"/>
  <c r="AA5" i="38"/>
  <c r="P5" i="38"/>
  <c r="HS4" i="38"/>
  <c r="GC4" i="38"/>
  <c r="GA4" i="38"/>
  <c r="BF4" i="38"/>
  <c r="P4" i="38"/>
  <c r="P3" i="38"/>
  <c r="B9" i="2" l="1"/>
  <c r="B10" i="2"/>
  <c r="A40" i="39" l="1"/>
  <c r="A41" i="39"/>
  <c r="A42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11" i="39"/>
  <c r="H12" i="39"/>
  <c r="H13" i="39" s="1"/>
  <c r="H14" i="39" s="1"/>
  <c r="H15" i="39" s="1"/>
  <c r="H16" i="39" s="1"/>
  <c r="H17" i="39" s="1"/>
  <c r="H18" i="39" s="1"/>
  <c r="H19" i="39" s="1"/>
  <c r="H20" i="39" s="1"/>
  <c r="H21" i="39" s="1"/>
  <c r="H22" i="39" s="1"/>
  <c r="H23" i="39" s="1"/>
  <c r="H24" i="39" s="1"/>
  <c r="H25" i="39" s="1"/>
  <c r="H26" i="39" s="1"/>
  <c r="H27" i="39" s="1"/>
  <c r="H28" i="39" s="1"/>
  <c r="H29" i="39" s="1"/>
  <c r="H30" i="39" s="1"/>
  <c r="H31" i="39" s="1"/>
  <c r="H32" i="39" s="1"/>
  <c r="H33" i="39" s="1"/>
  <c r="H34" i="39" s="1"/>
  <c r="H35" i="39" s="1"/>
  <c r="H36" i="39" s="1"/>
  <c r="H37" i="39" s="1"/>
  <c r="H38" i="39" s="1"/>
  <c r="H39" i="39" s="1"/>
  <c r="H40" i="39" s="1"/>
  <c r="H41" i="39" s="1"/>
  <c r="H42" i="39" s="1"/>
  <c r="AT4" i="39"/>
  <c r="M4" i="39"/>
  <c r="J4" i="39"/>
  <c r="Y3" i="39"/>
  <c r="B38" i="38" l="1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26" i="38" l="1"/>
  <c r="B27" i="38"/>
  <c r="B28" i="38"/>
  <c r="B29" i="38"/>
  <c r="B30" i="38"/>
  <c r="B31" i="38"/>
  <c r="B32" i="38"/>
  <c r="B33" i="38"/>
  <c r="B34" i="38"/>
  <c r="B35" i="38"/>
  <c r="B36" i="38"/>
  <c r="B37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10" i="38"/>
  <c r="K1" i="6" l="1"/>
  <c r="L1" i="6"/>
  <c r="M1" i="6"/>
  <c r="N1" i="6"/>
  <c r="O1" i="6"/>
  <c r="P1" i="6"/>
  <c r="Q1" i="6"/>
  <c r="R1" i="6"/>
  <c r="J1" i="6"/>
  <c r="EM6" i="38"/>
  <c r="EX6" i="38"/>
  <c r="LD6" i="38"/>
  <c r="DR6" i="38"/>
  <c r="BB6" i="39"/>
  <c r="JE6" i="38"/>
  <c r="FL6" i="39"/>
  <c r="CN6" i="38"/>
  <c r="KZ6" i="38"/>
  <c r="BG6" i="38"/>
  <c r="KG6" i="38"/>
  <c r="CZ6" i="38"/>
  <c r="DJ6" i="38"/>
  <c r="LG6" i="38"/>
  <c r="BG6" i="39"/>
  <c r="IU6" i="38"/>
  <c r="JX6" i="38"/>
  <c r="CX6" i="39"/>
  <c r="DD6" i="38"/>
  <c r="DK6" i="39"/>
  <c r="MA6" i="38"/>
  <c r="CN6" i="39"/>
  <c r="ET6" i="38"/>
  <c r="ED6" i="39"/>
  <c r="FO6" i="38"/>
  <c r="FD6" i="39"/>
  <c r="JQ6" i="38"/>
  <c r="BX6" i="38"/>
  <c r="FG6" i="39"/>
  <c r="ER6" i="39"/>
  <c r="BP6" i="39"/>
  <c r="CD6" i="38"/>
  <c r="BR6" i="39"/>
  <c r="FF6" i="38"/>
  <c r="CM6" i="39"/>
  <c r="BR6" i="38"/>
  <c r="BL6" i="39"/>
  <c r="CX6" i="38"/>
  <c r="FK6" i="38"/>
  <c r="DL6" i="39"/>
  <c r="CF6" i="39"/>
  <c r="IF6" i="38"/>
  <c r="HX6" i="38"/>
  <c r="FC6" i="38"/>
  <c r="CU6" i="38"/>
  <c r="LH6" i="38"/>
  <c r="EE6" i="39"/>
  <c r="JU6" i="38"/>
  <c r="CQ6" i="39"/>
  <c r="EA6" i="39"/>
  <c r="JK6" i="38"/>
  <c r="IA6" i="38"/>
  <c r="CM6" i="38"/>
  <c r="IN6" i="38"/>
  <c r="EL6" i="39"/>
  <c r="EQ6" i="38"/>
  <c r="BN6" i="38"/>
  <c r="JO6" i="38"/>
  <c r="BF6" i="39"/>
  <c r="FC6" i="39"/>
  <c r="KV6" i="38"/>
  <c r="FD6" i="38"/>
  <c r="FV6" i="38"/>
  <c r="KO6" i="38"/>
  <c r="CP6" i="38"/>
  <c r="AY6" i="39"/>
  <c r="DH6" i="39"/>
  <c r="IM6" i="38"/>
  <c r="BT6" i="39"/>
  <c r="FK6" i="39"/>
  <c r="AU6" i="39"/>
  <c r="LO6" i="38"/>
  <c r="EL6" i="38"/>
  <c r="DV6" i="38"/>
  <c r="KA6" i="38"/>
  <c r="HY6" i="38"/>
  <c r="AV6" i="39"/>
  <c r="BK6" i="39"/>
  <c r="CD6" i="39"/>
  <c r="MG6" i="38"/>
  <c r="FP6" i="38"/>
  <c r="EI6" i="39"/>
  <c r="LE6" i="38"/>
  <c r="BC6" i="39"/>
  <c r="CA6" i="38"/>
  <c r="KY6" i="38"/>
  <c r="FJ6" i="39"/>
  <c r="KB6" i="38"/>
  <c r="CL6" i="38"/>
  <c r="DH6" i="38"/>
  <c r="IK6" i="38"/>
  <c r="EP6" i="38"/>
  <c r="MJ6" i="38"/>
  <c r="EF6" i="38"/>
  <c r="DO6" i="38"/>
  <c r="DO6" i="39"/>
  <c r="EB6" i="38"/>
  <c r="EB6" i="39"/>
  <c r="DP6" i="38"/>
  <c r="HT6" i="38"/>
  <c r="BS6" i="38"/>
  <c r="LM6" i="38"/>
  <c r="CV6" i="39"/>
  <c r="EZ6" i="39"/>
  <c r="IO6" i="38"/>
  <c r="IV6" i="38"/>
  <c r="M5" i="38"/>
  <c r="MM6" i="38"/>
  <c r="FR6" i="38"/>
  <c r="CB6" i="39"/>
  <c r="EJ6" i="39"/>
  <c r="CH6" i="38"/>
  <c r="DK6" i="38"/>
  <c r="BP6" i="38"/>
  <c r="JA6" i="38"/>
  <c r="IG6" i="38"/>
  <c r="JY6" i="38"/>
  <c r="CR6" i="39"/>
  <c r="CI6" i="38"/>
  <c r="DS6" i="39"/>
  <c r="LT6" i="38"/>
  <c r="JC6" i="38"/>
  <c r="DF6" i="38"/>
  <c r="ME6" i="38"/>
  <c r="DZ6" i="38"/>
  <c r="LW6" i="38"/>
  <c r="BN6" i="39"/>
  <c r="FN6" i="38"/>
  <c r="KS6" i="38"/>
  <c r="FZ6" i="38"/>
  <c r="CT6" i="39"/>
  <c r="CB6" i="38"/>
  <c r="DC6" i="38"/>
  <c r="JD6" i="38"/>
  <c r="MK6" i="38"/>
  <c r="DX6" i="38"/>
  <c r="EV6" i="39"/>
  <c r="EJ6" i="38"/>
  <c r="CV6" i="38"/>
  <c r="JP6" i="38"/>
  <c r="EU6" i="38"/>
  <c r="CA6" i="39"/>
  <c r="IJ6" i="38"/>
  <c r="IR6" i="38"/>
  <c r="LC6" i="38"/>
  <c r="ET6" i="39"/>
  <c r="KC6" i="38"/>
  <c r="DB6" i="39"/>
  <c r="KR6" i="38"/>
  <c r="EZ6" i="38"/>
  <c r="KI6" i="38"/>
  <c r="MF6" i="38"/>
  <c r="LL6" i="38"/>
  <c r="CY6" i="39"/>
  <c r="DL6" i="38"/>
  <c r="KM6" i="38"/>
  <c r="JW6" i="38"/>
  <c r="CT6" i="38"/>
  <c r="EY6" i="38"/>
  <c r="EA6" i="38"/>
  <c r="LU6" i="38"/>
  <c r="CJ6" i="38"/>
  <c r="IW6" i="38"/>
  <c r="II6" i="38"/>
  <c r="DJ6" i="39"/>
  <c r="DP6" i="39"/>
  <c r="BO6" i="39"/>
  <c r="FW6" i="38"/>
  <c r="EX6" i="39"/>
  <c r="IQ6" i="38"/>
  <c r="HU6" i="38"/>
  <c r="DW6" i="39"/>
  <c r="FH6" i="38"/>
  <c r="DT6" i="39"/>
  <c r="LP6" i="38"/>
  <c r="KW6" i="38"/>
  <c r="FS6" i="38"/>
  <c r="CY6" i="38"/>
  <c r="CJ6" i="39"/>
  <c r="EM6" i="39"/>
  <c r="ED6" i="38"/>
  <c r="MB6" i="38"/>
  <c r="FF6" i="39"/>
  <c r="DF6" i="39"/>
  <c r="EH6" i="39"/>
  <c r="FB6" i="39"/>
  <c r="JS6" i="38"/>
  <c r="DZ6" i="39"/>
  <c r="MI6" i="38"/>
  <c r="KE6" i="38"/>
  <c r="BV6" i="38"/>
  <c r="IC6" i="38"/>
  <c r="BT6" i="38"/>
  <c r="IB6" i="38"/>
  <c r="CL6" i="39"/>
  <c r="BO6" i="38"/>
  <c r="BW6" i="39"/>
  <c r="BH6" i="38"/>
  <c r="LK6" i="38"/>
  <c r="FN6" i="39"/>
  <c r="CU6" i="39"/>
  <c r="FB6" i="38"/>
  <c r="EV6" i="38"/>
  <c r="BZ6" i="39"/>
  <c r="DN6" i="39"/>
  <c r="DV6" i="39"/>
  <c r="BK6" i="38"/>
  <c r="KJ6" i="38"/>
  <c r="CZ6" i="39"/>
  <c r="DG6" i="38"/>
  <c r="CF6" i="38"/>
  <c r="EE6" i="38"/>
  <c r="FT6" i="38"/>
  <c r="BV6" i="39"/>
  <c r="CE6" i="38"/>
  <c r="ER6" i="38"/>
  <c r="EH6" i="38"/>
  <c r="DR6" i="39"/>
  <c r="FX6" i="38"/>
  <c r="CQ6" i="38"/>
  <c r="JH6" i="38"/>
  <c r="BJ6" i="39"/>
  <c r="JM6" i="38"/>
  <c r="DC6" i="39"/>
  <c r="LQ6" i="38"/>
  <c r="JI6" i="38"/>
  <c r="BJ6" i="38"/>
  <c r="DT6" i="38"/>
  <c r="CE6" i="39"/>
  <c r="BL6" i="38"/>
  <c r="JL6" i="38"/>
  <c r="JG6" i="38"/>
  <c r="FH6" i="39"/>
  <c r="CP6" i="39"/>
  <c r="CH6" i="39"/>
  <c r="KU6" i="38"/>
  <c r="CR6" i="38"/>
  <c r="DX6" i="39"/>
  <c r="BS6" i="39"/>
  <c r="EQ6" i="39"/>
  <c r="MC6" i="38"/>
  <c r="EF6" i="39"/>
  <c r="IY6" i="38"/>
  <c r="FL6" i="38"/>
  <c r="LI6" i="38"/>
  <c r="DN6" i="38"/>
  <c r="K5" i="39"/>
  <c r="IS6" i="38"/>
  <c r="AX6" i="39"/>
  <c r="KK6" i="38"/>
  <c r="KF6" i="38"/>
  <c r="FG6" i="38"/>
  <c r="DW6" i="38"/>
  <c r="BW6" i="38"/>
  <c r="DB6" i="38"/>
  <c r="KN6" i="38"/>
  <c r="FJ6" i="38"/>
  <c r="IE6" i="38"/>
  <c r="BZ6" i="38"/>
  <c r="LX6" i="38"/>
  <c r="DD6" i="39"/>
  <c r="EY6" i="39"/>
  <c r="DS6" i="38"/>
  <c r="LA6" i="38"/>
  <c r="EU6" i="39"/>
  <c r="BX6" i="39"/>
  <c r="LY6" i="38"/>
  <c r="EN6" i="39"/>
  <c r="AZ6" i="39"/>
  <c r="HW6" i="38"/>
  <c r="EN6" i="38"/>
  <c r="BH6" i="39"/>
  <c r="BD6" i="39"/>
  <c r="IZ6" i="38"/>
  <c r="EI6" i="38"/>
  <c r="JT6" i="38"/>
  <c r="EP6" i="39"/>
  <c r="LS6" i="38"/>
  <c r="CI6" i="39"/>
  <c r="DG6" i="39"/>
  <c r="KQ6" i="38"/>
  <c r="AU4" i="39" l="1"/>
  <c r="AV4" i="39" s="1"/>
  <c r="AW4" i="39" s="1"/>
  <c r="AX4" i="39" s="1"/>
  <c r="DK4" i="39"/>
  <c r="DL4" i="39" s="1"/>
  <c r="DM4" i="39" s="1"/>
  <c r="DN4" i="39" s="1"/>
  <c r="IT6" i="38"/>
  <c r="KR4" i="38"/>
  <c r="KS4" i="38" s="1"/>
  <c r="KT4" i="38" s="1"/>
  <c r="KU4" i="38" s="1"/>
  <c r="DW4" i="38"/>
  <c r="DX4" i="38" s="1"/>
  <c r="DY4" i="38" s="1"/>
  <c r="DZ4" i="38" s="1"/>
  <c r="KT6" i="38"/>
  <c r="JN6" i="38"/>
  <c r="MB4" i="38"/>
  <c r="MC4" i="38" s="1"/>
  <c r="MD4" i="38" s="1"/>
  <c r="ME4" i="38" s="1"/>
  <c r="EO6" i="39"/>
  <c r="EY4" i="39"/>
  <c r="EZ4" i="39" s="1"/>
  <c r="FA4" i="39" s="1"/>
  <c r="FB4" i="39" s="1"/>
  <c r="CK6" i="39"/>
  <c r="MH6" i="38"/>
  <c r="JV6" i="38"/>
  <c r="EE4" i="38"/>
  <c r="EF4" i="38" s="1"/>
  <c r="EG4" i="38" s="1"/>
  <c r="EH4" i="38" s="1"/>
  <c r="BI6" i="38"/>
  <c r="IX6" i="38"/>
  <c r="FG4" i="39"/>
  <c r="FH4" i="39" s="1"/>
  <c r="FI4" i="39" s="1"/>
  <c r="FJ4" i="39" s="1"/>
  <c r="CE4" i="39"/>
  <c r="CF4" i="39" s="1"/>
  <c r="CG4" i="39" s="1"/>
  <c r="CH4" i="39" s="1"/>
  <c r="CC6" i="38"/>
  <c r="JT4" i="38"/>
  <c r="JU4" i="38" s="1"/>
  <c r="JV4" i="38" s="1"/>
  <c r="JW4" i="38" s="1"/>
  <c r="EW6" i="38"/>
  <c r="FK4" i="38"/>
  <c r="FL4" i="38" s="1"/>
  <c r="FM4" i="38" s="1"/>
  <c r="FN4" i="38" s="1"/>
  <c r="DQ6" i="38"/>
  <c r="FC4" i="38"/>
  <c r="FD4" i="38" s="1"/>
  <c r="FE4" i="38" s="1"/>
  <c r="FF4" i="38" s="1"/>
  <c r="CY4" i="38"/>
  <c r="CZ4" i="38" s="1"/>
  <c r="DA4" i="38" s="1"/>
  <c r="DB4" i="38" s="1"/>
  <c r="EO6" i="38"/>
  <c r="HX4" i="38"/>
  <c r="HY4" i="38" s="1"/>
  <c r="HZ4" i="38" s="1"/>
  <c r="IA4" i="38" s="1"/>
  <c r="JH4" i="38"/>
  <c r="JI4" i="38" s="1"/>
  <c r="JJ4" i="38" s="1"/>
  <c r="JK4" i="38" s="1"/>
  <c r="BS4" i="38"/>
  <c r="BT4" i="38" s="1"/>
  <c r="BU4" i="38" s="1"/>
  <c r="BV4" i="38" s="1"/>
  <c r="IB4" i="38"/>
  <c r="IC4" i="38" s="1"/>
  <c r="ID4" i="38" s="1"/>
  <c r="IE4" i="38" s="1"/>
  <c r="BY6" i="38"/>
  <c r="EI4" i="39"/>
  <c r="EJ4" i="39" s="1"/>
  <c r="EK4" i="39" s="1"/>
  <c r="EL4" i="39" s="1"/>
  <c r="IV4" i="38"/>
  <c r="IW4" i="38" s="1"/>
  <c r="IX4" i="38" s="1"/>
  <c r="IY4" i="38" s="1"/>
  <c r="DO4" i="39"/>
  <c r="DP4" i="39" s="1"/>
  <c r="DQ4" i="39" s="1"/>
  <c r="DR4" i="39" s="1"/>
  <c r="LD4" i="38"/>
  <c r="LE4" i="38" s="1"/>
  <c r="LF4" i="38" s="1"/>
  <c r="LG4" i="38" s="1"/>
  <c r="LN6" i="38"/>
  <c r="DS4" i="39"/>
  <c r="DT4" i="39" s="1"/>
  <c r="DU4" i="39" s="1"/>
  <c r="DV4" i="39" s="1"/>
  <c r="CQ4" i="38"/>
  <c r="CR4" i="38" s="1"/>
  <c r="CS4" i="38" s="1"/>
  <c r="CT4" i="38" s="1"/>
  <c r="BO4" i="39"/>
  <c r="BP4" i="39" s="1"/>
  <c r="BQ4" i="39" s="1"/>
  <c r="BR4" i="39" s="1"/>
  <c r="CA4" i="38"/>
  <c r="CB4" i="38" s="1"/>
  <c r="CC4" i="38" s="1"/>
  <c r="CD4" i="38" s="1"/>
  <c r="LR6" i="38"/>
  <c r="CM4" i="39"/>
  <c r="CN4" i="39" s="1"/>
  <c r="CO4" i="39" s="1"/>
  <c r="CP4" i="39" s="1"/>
  <c r="DI6" i="39"/>
  <c r="KV4" i="38"/>
  <c r="KW4" i="38" s="1"/>
  <c r="KX4" i="38" s="1"/>
  <c r="KY4" i="38" s="1"/>
  <c r="JD4" i="38"/>
  <c r="JE4" i="38" s="1"/>
  <c r="JF4" i="38" s="1"/>
  <c r="JG4" i="38" s="1"/>
  <c r="BS4" i="39"/>
  <c r="BT4" i="39" s="1"/>
  <c r="BU4" i="39" s="1"/>
  <c r="BV4" i="39" s="1"/>
  <c r="JJ6" i="38"/>
  <c r="AY4" i="39"/>
  <c r="AZ4" i="39" s="1"/>
  <c r="BA4" i="39" s="1"/>
  <c r="BB4" i="39" s="1"/>
  <c r="ID6" i="38"/>
  <c r="BQ6" i="39"/>
  <c r="CA4" i="39"/>
  <c r="CB4" i="39" s="1"/>
  <c r="CC4" i="39" s="1"/>
  <c r="CD4" i="39" s="1"/>
  <c r="EA4" i="38"/>
  <c r="EB4" i="38" s="1"/>
  <c r="EC4" i="38" s="1"/>
  <c r="ED4" i="38" s="1"/>
  <c r="DY6" i="39"/>
  <c r="JZ6" i="38"/>
  <c r="FA6" i="39"/>
  <c r="CY4" i="39"/>
  <c r="CZ4" i="39" s="1"/>
  <c r="DA4" i="39" s="1"/>
  <c r="DB4" i="39" s="1"/>
  <c r="FW4" i="38"/>
  <c r="FX4" i="38" s="1"/>
  <c r="FY4" i="38" s="1"/>
  <c r="FZ4" i="38" s="1"/>
  <c r="KF4" i="38"/>
  <c r="KG4" i="38" s="1"/>
  <c r="KH4" i="38" s="1"/>
  <c r="KI4" i="38" s="1"/>
  <c r="BY6" i="39"/>
  <c r="CM4" i="38"/>
  <c r="CN4" i="38" s="1"/>
  <c r="CO4" i="38" s="1"/>
  <c r="CP4" i="38" s="1"/>
  <c r="BG4" i="39"/>
  <c r="BH4" i="39" s="1"/>
  <c r="BI4" i="39" s="1"/>
  <c r="BJ4" i="39" s="1"/>
  <c r="FU6" i="38"/>
  <c r="KJ4" i="38"/>
  <c r="KK4" i="38" s="1"/>
  <c r="KL4" i="38" s="1"/>
  <c r="KM4" i="38" s="1"/>
  <c r="CU4" i="38"/>
  <c r="CV4" i="38" s="1"/>
  <c r="CW4" i="38" s="1"/>
  <c r="CX4" i="38" s="1"/>
  <c r="KD6" i="38"/>
  <c r="DC4" i="38"/>
  <c r="DD4" i="38" s="1"/>
  <c r="DE4" i="38" s="1"/>
  <c r="DF4" i="38" s="1"/>
  <c r="CW6" i="38"/>
  <c r="EQ4" i="39"/>
  <c r="ER4" i="39" s="1"/>
  <c r="ES4" i="39" s="1"/>
  <c r="ET4" i="39" s="1"/>
  <c r="CG6" i="38"/>
  <c r="FQ6" i="38"/>
  <c r="EC6" i="39"/>
  <c r="EQ4" i="38"/>
  <c r="ER4" i="38" s="1"/>
  <c r="ES4" i="38" s="1"/>
  <c r="ET4" i="38" s="1"/>
  <c r="ES6" i="38"/>
  <c r="LJ6" i="38"/>
  <c r="BC4" i="39"/>
  <c r="BD4" i="39" s="1"/>
  <c r="BE4" i="39" s="1"/>
  <c r="BF4" i="39" s="1"/>
  <c r="CU4" i="39"/>
  <c r="CV4" i="39" s="1"/>
  <c r="CW4" i="39" s="1"/>
  <c r="CX4" i="39" s="1"/>
  <c r="DI6" i="38"/>
  <c r="LL4" i="38"/>
  <c r="LM4" i="38" s="1"/>
  <c r="LN4" i="38" s="1"/>
  <c r="LO4" i="38" s="1"/>
  <c r="JX4" i="38"/>
  <c r="JY4" i="38" s="1"/>
  <c r="JZ4" i="38" s="1"/>
  <c r="KA4" i="38" s="1"/>
  <c r="MF4" i="38"/>
  <c r="MG4" i="38" s="1"/>
  <c r="MH4" i="38" s="1"/>
  <c r="MI4" i="38" s="1"/>
  <c r="DU6" i="39"/>
  <c r="JP4" i="38"/>
  <c r="JQ4" i="38" s="1"/>
  <c r="JR4" i="38" s="1"/>
  <c r="JS4" i="38" s="1"/>
  <c r="EK6" i="39"/>
  <c r="KB4" i="38"/>
  <c r="KC4" i="38" s="1"/>
  <c r="KD4" i="38" s="1"/>
  <c r="KE4" i="38" s="1"/>
  <c r="EA4" i="39"/>
  <c r="EB4" i="39" s="1"/>
  <c r="EC4" i="39" s="1"/>
  <c r="ED4" i="39" s="1"/>
  <c r="DQ6" i="39"/>
  <c r="DA6" i="39"/>
  <c r="KX6" i="38"/>
  <c r="CS6" i="38"/>
  <c r="IH6" i="38"/>
  <c r="DK4" i="38"/>
  <c r="DL4" i="38" s="1"/>
  <c r="DM4" i="38" s="1"/>
  <c r="DN4" i="38" s="1"/>
  <c r="LT4" i="38"/>
  <c r="LU4" i="38" s="1"/>
  <c r="LV4" i="38" s="1"/>
  <c r="LW4" i="38" s="1"/>
  <c r="LP4" i="38"/>
  <c r="LQ4" i="38" s="1"/>
  <c r="LR4" i="38" s="1"/>
  <c r="LS4" i="38" s="1"/>
  <c r="DS4" i="38"/>
  <c r="DT4" i="38" s="1"/>
  <c r="DU4" i="38" s="1"/>
  <c r="DV4" i="38" s="1"/>
  <c r="BE6" i="39"/>
  <c r="FS4" i="38"/>
  <c r="FT4" i="38" s="1"/>
  <c r="FU4" i="38" s="1"/>
  <c r="FV4" i="38" s="1"/>
  <c r="DM6" i="38"/>
  <c r="CE4" i="38"/>
  <c r="CF4" i="38" s="1"/>
  <c r="CG4" i="38" s="1"/>
  <c r="CH4" i="38" s="1"/>
  <c r="FE6" i="39"/>
  <c r="EE4" i="39"/>
  <c r="EF4" i="39" s="1"/>
  <c r="EG4" i="39" s="1"/>
  <c r="EH4" i="39" s="1"/>
  <c r="EM4" i="38"/>
  <c r="EN4" i="38" s="1"/>
  <c r="EO4" i="38" s="1"/>
  <c r="EP4" i="38" s="1"/>
  <c r="LX4" i="38"/>
  <c r="LY4" i="38" s="1"/>
  <c r="LZ4" i="38" s="1"/>
  <c r="MA4" i="38" s="1"/>
  <c r="FI6" i="39"/>
  <c r="EM4" i="39"/>
  <c r="EN4" i="39" s="1"/>
  <c r="EO4" i="39" s="1"/>
  <c r="EP4" i="39" s="1"/>
  <c r="DG4" i="38"/>
  <c r="DH4" i="38" s="1"/>
  <c r="DI4" i="38" s="1"/>
  <c r="DJ4" i="38" s="1"/>
  <c r="IN4" i="38"/>
  <c r="IO4" i="38" s="1"/>
  <c r="IP4" i="38" s="1"/>
  <c r="IQ4" i="38" s="1"/>
  <c r="DU6" i="38"/>
  <c r="BU6" i="38"/>
  <c r="FI6" i="38"/>
  <c r="DW4" i="39"/>
  <c r="DX4" i="39" s="1"/>
  <c r="DY4" i="39" s="1"/>
  <c r="DZ4" i="39" s="1"/>
  <c r="BA6" i="39"/>
  <c r="DA6" i="38"/>
  <c r="IF4" i="38"/>
  <c r="IG4" i="38" s="1"/>
  <c r="IH4" i="38" s="1"/>
  <c r="II4" i="38" s="1"/>
  <c r="DE6" i="39"/>
  <c r="FA6" i="38"/>
  <c r="CO6" i="39"/>
  <c r="IR4" i="38"/>
  <c r="IS4" i="38" s="1"/>
  <c r="IT4" i="38" s="1"/>
  <c r="IU4" i="38" s="1"/>
  <c r="BI6" i="39"/>
  <c r="CI4" i="38"/>
  <c r="CJ4" i="38" s="1"/>
  <c r="CK4" i="38" s="1"/>
  <c r="CL4" i="38" s="1"/>
  <c r="BK4" i="39"/>
  <c r="BL4" i="39" s="1"/>
  <c r="BM4" i="39" s="1"/>
  <c r="BN4" i="39" s="1"/>
  <c r="JR6" i="38"/>
  <c r="CQ4" i="39"/>
  <c r="CR4" i="39" s="1"/>
  <c r="CS4" i="39" s="1"/>
  <c r="CT4" i="39" s="1"/>
  <c r="EK6" i="38"/>
  <c r="JL4" i="38"/>
  <c r="JM4" i="38" s="1"/>
  <c r="JN4" i="38" s="1"/>
  <c r="JO4" i="38" s="1"/>
  <c r="KH6" i="38"/>
  <c r="JF6" i="38"/>
  <c r="BM6" i="39"/>
  <c r="KN4" i="38"/>
  <c r="KO4" i="38" s="1"/>
  <c r="KP4" i="38" s="1"/>
  <c r="KQ4" i="38" s="1"/>
  <c r="CG6" i="39"/>
  <c r="DO4" i="38"/>
  <c r="DP4" i="38" s="1"/>
  <c r="DQ4" i="38" s="1"/>
  <c r="DR4" i="38" s="1"/>
  <c r="DE6" i="38"/>
  <c r="FM6" i="39"/>
  <c r="MD6" i="38"/>
  <c r="DM6" i="39"/>
  <c r="AI5" i="38"/>
  <c r="O5" i="38"/>
  <c r="GO5" i="38"/>
  <c r="AB5" i="38"/>
  <c r="GV5" i="38"/>
  <c r="DC4" i="39"/>
  <c r="DD4" i="39" s="1"/>
  <c r="DE4" i="39" s="1"/>
  <c r="DF4" i="39" s="1"/>
  <c r="EW6" i="39"/>
  <c r="FC4" i="39"/>
  <c r="FD4" i="39" s="1"/>
  <c r="FE4" i="39" s="1"/>
  <c r="FF4" i="39" s="1"/>
  <c r="DG4" i="39"/>
  <c r="DH4" i="39" s="1"/>
  <c r="DI4" i="39" s="1"/>
  <c r="DJ4" i="39" s="1"/>
  <c r="EC6" i="38"/>
  <c r="IP6" i="38"/>
  <c r="HV6" i="38"/>
  <c r="HT4" i="38"/>
  <c r="HU4" i="38" s="1"/>
  <c r="HV4" i="38" s="1"/>
  <c r="HW4" i="38" s="1"/>
  <c r="BW4" i="39"/>
  <c r="BX4" i="39" s="1"/>
  <c r="BY4" i="39" s="1"/>
  <c r="BZ4" i="39" s="1"/>
  <c r="KP6" i="38"/>
  <c r="KL6" i="38"/>
  <c r="CI4" i="39"/>
  <c r="CJ4" i="39" s="1"/>
  <c r="CK4" i="39" s="1"/>
  <c r="CL4" i="39" s="1"/>
  <c r="FO4" i="38"/>
  <c r="FP4" i="38" s="1"/>
  <c r="FQ4" i="38" s="1"/>
  <c r="FR4" i="38" s="1"/>
  <c r="CW6" i="39"/>
  <c r="MJ4" i="38"/>
  <c r="MK4" i="38" s="1"/>
  <c r="ML4" i="38" s="1"/>
  <c r="MM4" i="38" s="1"/>
  <c r="CK6" i="38"/>
  <c r="FE6" i="38"/>
  <c r="IJ4" i="38"/>
  <c r="IK4" i="38" s="1"/>
  <c r="IL4" i="38" s="1"/>
  <c r="IM4" i="38" s="1"/>
  <c r="M5" i="39"/>
  <c r="N4" i="39"/>
  <c r="K4" i="39"/>
  <c r="EU4" i="39"/>
  <c r="EV4" i="39" s="1"/>
  <c r="EW4" i="39" s="1"/>
  <c r="EX4" i="39" s="1"/>
  <c r="FG4" i="38"/>
  <c r="FH4" i="38" s="1"/>
  <c r="FI4" i="38" s="1"/>
  <c r="FJ4" i="38" s="1"/>
  <c r="EG6" i="39"/>
  <c r="BG4" i="38"/>
  <c r="BH4" i="38" s="1"/>
  <c r="BI4" i="38" s="1"/>
  <c r="BJ4" i="38" s="1"/>
  <c r="IZ4" i="38"/>
  <c r="JA4" i="38" s="1"/>
  <c r="JB4" i="38" s="1"/>
  <c r="JC4" i="38" s="1"/>
  <c r="DY6" i="38"/>
  <c r="ES6" i="39"/>
  <c r="KZ4" i="38"/>
  <c r="LA4" i="38" s="1"/>
  <c r="LB4" i="38" s="1"/>
  <c r="LC4" i="38" s="1"/>
  <c r="AW6" i="39"/>
  <c r="LZ6" i="38"/>
  <c r="IL6" i="38"/>
  <c r="EG6" i="38"/>
  <c r="ML6" i="38"/>
  <c r="BO4" i="38"/>
  <c r="BP4" i="38" s="1"/>
  <c r="BQ4" i="38" s="1"/>
  <c r="BR4" i="38" s="1"/>
  <c r="HZ6" i="38"/>
  <c r="CO6" i="38"/>
  <c r="FY6" i="38"/>
  <c r="BW4" i="38"/>
  <c r="BX4" i="38" s="1"/>
  <c r="BY4" i="38" s="1"/>
  <c r="BZ4" i="38" s="1"/>
  <c r="CS6" i="39"/>
  <c r="FK4" i="39"/>
  <c r="FL4" i="39" s="1"/>
  <c r="FM4" i="39" s="1"/>
  <c r="FN4" i="39" s="1"/>
  <c r="LV6" i="38"/>
  <c r="LH4" i="38"/>
  <c r="LI4" i="38" s="1"/>
  <c r="LJ4" i="38" s="1"/>
  <c r="LK4" i="38" s="1"/>
  <c r="BK4" i="38"/>
  <c r="BL4" i="38" s="1"/>
  <c r="BM4" i="38" s="1"/>
  <c r="BN4" i="38" s="1"/>
  <c r="CC6" i="39"/>
  <c r="LB6" i="38"/>
  <c r="EY4" i="38"/>
  <c r="EZ4" i="38" s="1"/>
  <c r="FA4" i="38" s="1"/>
  <c r="FB4" i="38" s="1"/>
  <c r="BQ6" i="38"/>
  <c r="LF6" i="38"/>
  <c r="FM6" i="38"/>
  <c r="BU6" i="39"/>
  <c r="EI4" i="38"/>
  <c r="EJ4" i="38" s="1"/>
  <c r="EK4" i="38" s="1"/>
  <c r="EL4" i="38" s="1"/>
  <c r="EU4" i="38"/>
  <c r="EV4" i="38" s="1"/>
  <c r="EW4" i="38" s="1"/>
  <c r="EX4" i="38" s="1"/>
  <c r="JB6" i="38"/>
  <c r="BM6" i="38"/>
  <c r="G5" i="39"/>
  <c r="H5" i="38"/>
  <c r="B6" i="2"/>
  <c r="B7" i="2"/>
  <c r="B8" i="2"/>
  <c r="B5" i="2"/>
</calcChain>
</file>

<file path=xl/sharedStrings.xml><?xml version="1.0" encoding="utf-8"?>
<sst xmlns="http://schemas.openxmlformats.org/spreadsheetml/2006/main" count="2555" uniqueCount="612">
  <si>
    <t>EMP_CODE</t>
  </si>
  <si>
    <t>工号</t>
  </si>
  <si>
    <t>EMP_NAME</t>
  </si>
  <si>
    <t>姓名</t>
  </si>
  <si>
    <t>DATE</t>
  </si>
  <si>
    <t>PRJ_FIN_CODE</t>
  </si>
  <si>
    <t>NUMBER</t>
  </si>
  <si>
    <t>Name</t>
  </si>
  <si>
    <t>Type</t>
  </si>
  <si>
    <t>文件名</t>
    <phoneticPr fontId="5" type="noConversion"/>
  </si>
  <si>
    <t>错误种类</t>
    <phoneticPr fontId="5" type="noConversion"/>
  </si>
  <si>
    <t>错误描述</t>
    <phoneticPr fontId="5" type="noConversion"/>
  </si>
  <si>
    <t>单元格内容</t>
    <phoneticPr fontId="5" type="noConversion"/>
  </si>
  <si>
    <t>导入类型</t>
    <phoneticPr fontId="5" type="noConversion"/>
  </si>
  <si>
    <t>数据名称</t>
    <phoneticPr fontId="5" type="noConversion"/>
  </si>
  <si>
    <t>Sheet名</t>
    <phoneticPr fontId="5" type="noConversion"/>
  </si>
  <si>
    <t>IZOPUSER</t>
    <phoneticPr fontId="5" type="noConversion"/>
  </si>
  <si>
    <t>inzy201408</t>
    <phoneticPr fontId="5" type="noConversion"/>
  </si>
  <si>
    <t>NO</t>
    <phoneticPr fontId="5" type="noConversion"/>
  </si>
  <si>
    <t>行(Row)</t>
    <phoneticPr fontId="5" type="noConversion"/>
  </si>
  <si>
    <t>列(Col)</t>
    <phoneticPr fontId="5" type="noConversion"/>
  </si>
  <si>
    <t>行</t>
    <phoneticPr fontId="5" type="noConversion"/>
  </si>
  <si>
    <t>来源</t>
    <phoneticPr fontId="5" type="noConversion"/>
  </si>
  <si>
    <t>行号</t>
    <phoneticPr fontId="5" type="noConversion"/>
  </si>
  <si>
    <t>成败否</t>
    <phoneticPr fontId="5" type="noConversion"/>
  </si>
  <si>
    <t>处理类型</t>
    <phoneticPr fontId="5" type="noConversion"/>
  </si>
  <si>
    <t>页(Sheet)</t>
    <phoneticPr fontId="5" type="noConversion"/>
  </si>
  <si>
    <t>列</t>
    <phoneticPr fontId="5" type="noConversion"/>
  </si>
  <si>
    <t>时间</t>
    <phoneticPr fontId="5" type="noConversion"/>
  </si>
  <si>
    <t>项目名称</t>
  </si>
  <si>
    <t>业务线</t>
  </si>
  <si>
    <t>D01请假(H)</t>
  </si>
  <si>
    <t>D01调休(H)</t>
  </si>
  <si>
    <t>D02请假(H)</t>
  </si>
  <si>
    <t>D02调休(H)</t>
  </si>
  <si>
    <t>D03请假(H)</t>
  </si>
  <si>
    <t>D03调休(H)</t>
  </si>
  <si>
    <t>D04请假(H)</t>
  </si>
  <si>
    <t>D04调休(H)</t>
  </si>
  <si>
    <t>D05请假(H)</t>
  </si>
  <si>
    <t>D05调休(H)</t>
  </si>
  <si>
    <t>D06请假(H)</t>
  </si>
  <si>
    <t>D06调休(H)</t>
  </si>
  <si>
    <t>D07请假(H)</t>
  </si>
  <si>
    <t>D07调休(H)</t>
  </si>
  <si>
    <t>D08请假(H)</t>
  </si>
  <si>
    <t>D08调休(H)</t>
  </si>
  <si>
    <t>D09请假(H)</t>
  </si>
  <si>
    <t>D09调休(H)</t>
  </si>
  <si>
    <t>D10请假(H)</t>
  </si>
  <si>
    <t>D10调休(H)</t>
  </si>
  <si>
    <t>D11请假(H)</t>
  </si>
  <si>
    <t>D11调休(H)</t>
  </si>
  <si>
    <t>D12请假(H)</t>
  </si>
  <si>
    <t>D12调休(H)</t>
  </si>
  <si>
    <t>D13请假(H)</t>
  </si>
  <si>
    <t>D13调休(H)</t>
  </si>
  <si>
    <t>D14请假(H)</t>
  </si>
  <si>
    <t>D14调休(H)</t>
  </si>
  <si>
    <t>D15请假(H)</t>
  </si>
  <si>
    <t>D15调休(H)</t>
  </si>
  <si>
    <t>D16请假(H)</t>
  </si>
  <si>
    <t>D16调休(H)</t>
  </si>
  <si>
    <t>D17请假(H)</t>
  </si>
  <si>
    <t>D17调休(H)</t>
  </si>
  <si>
    <t>D18请假(H)</t>
  </si>
  <si>
    <t>D18调休(H)</t>
  </si>
  <si>
    <t>D19请假(H)</t>
  </si>
  <si>
    <t>D19调休(H)</t>
  </si>
  <si>
    <t>D20请假(H)</t>
  </si>
  <si>
    <t>D20调休(H)</t>
  </si>
  <si>
    <t>D21请假(H)</t>
  </si>
  <si>
    <t>D21调休(H)</t>
  </si>
  <si>
    <t>D22请假(H)</t>
  </si>
  <si>
    <t>D22调休(H)</t>
  </si>
  <si>
    <t>D23请假(H)</t>
  </si>
  <si>
    <t>D23调休(H)</t>
  </si>
  <si>
    <t>D24请假(H)</t>
  </si>
  <si>
    <t>D24调休(H)</t>
  </si>
  <si>
    <t>D25请假(H)</t>
  </si>
  <si>
    <t>D25调休(H)</t>
  </si>
  <si>
    <t>D26请假(H)</t>
  </si>
  <si>
    <t>D26调休(H)</t>
  </si>
  <si>
    <t>D27请假(H)</t>
  </si>
  <si>
    <t>D27调休(H)</t>
  </si>
  <si>
    <t>D28请假(H)</t>
  </si>
  <si>
    <t>D28调休(H)</t>
  </si>
  <si>
    <t>D29请假(H)</t>
  </si>
  <si>
    <t>D29调休(H)</t>
  </si>
  <si>
    <t>D30请假(H)</t>
  </si>
  <si>
    <t>D30调休(H)</t>
  </si>
  <si>
    <t>D31请假(H)</t>
  </si>
  <si>
    <t>D31调休(H)</t>
  </si>
  <si>
    <t>D00备注</t>
  </si>
  <si>
    <t>R_TYPE</t>
  </si>
  <si>
    <t>PRJ_NAME</t>
  </si>
  <si>
    <t>ORG_NAME</t>
  </si>
  <si>
    <t>TC_MIN_DATE</t>
  </si>
  <si>
    <t>TC_MAX_DATE</t>
  </si>
  <si>
    <t>D01_WK_HOURS</t>
  </si>
  <si>
    <t>D01_OV_HOURS</t>
  </si>
  <si>
    <t>D01_LV_HOURS</t>
  </si>
  <si>
    <t>D01_OS_HOURS</t>
  </si>
  <si>
    <t>D02_WK_HOURS</t>
  </si>
  <si>
    <t>D02_OV_HOURS</t>
  </si>
  <si>
    <t>D02_LV_HOURS</t>
  </si>
  <si>
    <t>D02_OS_HOURS</t>
  </si>
  <si>
    <t>D03_WK_HOURS</t>
  </si>
  <si>
    <t>D03_OV_HOURS</t>
  </si>
  <si>
    <t>D03_LV_HOURS</t>
  </si>
  <si>
    <t>D03_OS_HOURS</t>
  </si>
  <si>
    <t>D04_WK_HOURS</t>
  </si>
  <si>
    <t>D04_OV_HOURS</t>
  </si>
  <si>
    <t>D04_LV_HOURS</t>
  </si>
  <si>
    <t>D04_OS_HOURS</t>
  </si>
  <si>
    <t>D05_WK_HOURS</t>
  </si>
  <si>
    <t>D05_OV_HOURS</t>
  </si>
  <si>
    <t>D05_LV_HOURS</t>
  </si>
  <si>
    <t>D05_OS_HOURS</t>
  </si>
  <si>
    <t>D06_WK_HOURS</t>
  </si>
  <si>
    <t>D06_OV_HOURS</t>
  </si>
  <si>
    <t>D06_LV_HOURS</t>
  </si>
  <si>
    <t>D06_OS_HOURS</t>
  </si>
  <si>
    <t>D07_WK_HOURS</t>
  </si>
  <si>
    <t>D07_OV_HOURS</t>
  </si>
  <si>
    <t>D07_LV_HOURS</t>
  </si>
  <si>
    <t>D07_OS_HOURS</t>
  </si>
  <si>
    <t>D08_WK_HOURS</t>
  </si>
  <si>
    <t>D08_OV_HOURS</t>
  </si>
  <si>
    <t>D08_LV_HOURS</t>
  </si>
  <si>
    <t>D08_OS_HOURS</t>
  </si>
  <si>
    <t>D09_WK_HOURS</t>
  </si>
  <si>
    <t>D09_OV_HOURS</t>
  </si>
  <si>
    <t>D09_LV_HOURS</t>
  </si>
  <si>
    <t>D09_OS_HOURS</t>
  </si>
  <si>
    <t>D10_WK_HOURS</t>
  </si>
  <si>
    <t>D10_OV_HOURS</t>
  </si>
  <si>
    <t>D10_LV_HOURS</t>
  </si>
  <si>
    <t>D10_OS_HOURS</t>
  </si>
  <si>
    <t>D11_WK_HOURS</t>
  </si>
  <si>
    <t>D11_OV_HOURS</t>
  </si>
  <si>
    <t>D11_LV_HOURS</t>
  </si>
  <si>
    <t>D11_OS_HOURS</t>
  </si>
  <si>
    <t>D12_WK_HOURS</t>
  </si>
  <si>
    <t>D12_OV_HOURS</t>
  </si>
  <si>
    <t>D12_LV_HOURS</t>
  </si>
  <si>
    <t>D12_OS_HOURS</t>
  </si>
  <si>
    <t>D13_WK_HOURS</t>
  </si>
  <si>
    <t>D13_OV_HOURS</t>
  </si>
  <si>
    <t>D13_LV_HOURS</t>
  </si>
  <si>
    <t>D13_OS_HOURS</t>
  </si>
  <si>
    <t>D14_WK_HOURS</t>
  </si>
  <si>
    <t>D14_OV_HOURS</t>
  </si>
  <si>
    <t>D14_LV_HOURS</t>
  </si>
  <si>
    <t>D14_OS_HOURS</t>
  </si>
  <si>
    <t>D15_WK_HOURS</t>
  </si>
  <si>
    <t>D15_OV_HOURS</t>
  </si>
  <si>
    <t>D15_LV_HOURS</t>
  </si>
  <si>
    <t>D15_OS_HOURS</t>
  </si>
  <si>
    <t>D16_WK_HOURS</t>
  </si>
  <si>
    <t>D16_OV_HOURS</t>
  </si>
  <si>
    <t>D16_LV_HOURS</t>
  </si>
  <si>
    <t>D16_OS_HOURS</t>
  </si>
  <si>
    <t>D17_WK_HOURS</t>
  </si>
  <si>
    <t>D17_OV_HOURS</t>
  </si>
  <si>
    <t>D17_LV_HOURS</t>
  </si>
  <si>
    <t>D17_OS_HOURS</t>
  </si>
  <si>
    <t>D18_WK_HOURS</t>
  </si>
  <si>
    <t>D18_OV_HOURS</t>
  </si>
  <si>
    <t>D18_LV_HOURS</t>
  </si>
  <si>
    <t>D18_OS_HOURS</t>
  </si>
  <si>
    <t>D19_WK_HOURS</t>
  </si>
  <si>
    <t>D19_OV_HOURS</t>
  </si>
  <si>
    <t>D19_LV_HOURS</t>
  </si>
  <si>
    <t>D19_OS_HOURS</t>
  </si>
  <si>
    <t>D20_WK_HOURS</t>
  </si>
  <si>
    <t>D20_OV_HOURS</t>
  </si>
  <si>
    <t>D20_LV_HOURS</t>
  </si>
  <si>
    <t>D20_OS_HOURS</t>
  </si>
  <si>
    <t>D21_WK_HOURS</t>
  </si>
  <si>
    <t>D21_OV_HOURS</t>
  </si>
  <si>
    <t>D21_LV_HOURS</t>
  </si>
  <si>
    <t>D21_OS_HOURS</t>
  </si>
  <si>
    <t>D22_WK_HOURS</t>
  </si>
  <si>
    <t>D22_OV_HOURS</t>
  </si>
  <si>
    <t>D22_LV_HOURS</t>
  </si>
  <si>
    <t>D22_OS_HOURS</t>
  </si>
  <si>
    <t>D23_WK_HOURS</t>
  </si>
  <si>
    <t>D23_OV_HOURS</t>
  </si>
  <si>
    <t>D23_LV_HOURS</t>
  </si>
  <si>
    <t>D23_OS_HOURS</t>
  </si>
  <si>
    <t>D24_WK_HOURS</t>
  </si>
  <si>
    <t>D24_OV_HOURS</t>
  </si>
  <si>
    <t>D24_LV_HOURS</t>
  </si>
  <si>
    <t>D24_OS_HOURS</t>
  </si>
  <si>
    <t>D25_WK_HOURS</t>
  </si>
  <si>
    <t>D25_OV_HOURS</t>
  </si>
  <si>
    <t>D25_LV_HOURS</t>
  </si>
  <si>
    <t>D25_OS_HOURS</t>
  </si>
  <si>
    <t>D26_WK_HOURS</t>
  </si>
  <si>
    <t>D26_OV_HOURS</t>
  </si>
  <si>
    <t>D26_LV_HOURS</t>
  </si>
  <si>
    <t>D26_OS_HOURS</t>
  </si>
  <si>
    <t>D27_WK_HOURS</t>
  </si>
  <si>
    <t>D27_OV_HOURS</t>
  </si>
  <si>
    <t>D27_LV_HOURS</t>
  </si>
  <si>
    <t>D27_OS_HOURS</t>
  </si>
  <si>
    <t>D28_WK_HOURS</t>
  </si>
  <si>
    <t>D28_OV_HOURS</t>
  </si>
  <si>
    <t>D28_LV_HOURS</t>
  </si>
  <si>
    <t>D28_OS_HOURS</t>
  </si>
  <si>
    <t>D29_WK_HOURS</t>
  </si>
  <si>
    <t>D29_OV_HOURS</t>
  </si>
  <si>
    <t>D29_LV_HOURS</t>
  </si>
  <si>
    <t>D29_OS_HOURS</t>
  </si>
  <si>
    <t>D30_WK_HOURS</t>
  </si>
  <si>
    <t>D30_OV_HOURS</t>
  </si>
  <si>
    <t>D30_LV_HOURS</t>
  </si>
  <si>
    <t>D30_OS_HOURS</t>
  </si>
  <si>
    <t>D31_WK_HOURS</t>
  </si>
  <si>
    <t>D31_OV_HOURS</t>
  </si>
  <si>
    <t>D31_LV_HOURS</t>
  </si>
  <si>
    <t>D31_OS_HOURS</t>
  </si>
  <si>
    <t>VARCHAR2</t>
  </si>
  <si>
    <t>IGNORE</t>
  </si>
  <si>
    <t>COLUMN</t>
  </si>
  <si>
    <t>G1-</t>
    <phoneticPr fontId="5" type="noConversion"/>
  </si>
  <si>
    <t>加班(H)</t>
  </si>
  <si>
    <t>D01当班(H)</t>
  </si>
  <si>
    <t>D01加班(H)</t>
  </si>
  <si>
    <t>D02当班(H)</t>
  </si>
  <si>
    <t>D02加班(H)</t>
  </si>
  <si>
    <t>D03当班(H)</t>
  </si>
  <si>
    <t>D03加班(H)</t>
  </si>
  <si>
    <t>D04当班(H)</t>
  </si>
  <si>
    <t>D04加班(H)</t>
  </si>
  <si>
    <t>D05当班(H)</t>
  </si>
  <si>
    <t>D05加班(H)</t>
  </si>
  <si>
    <t>D06当班(H)</t>
  </si>
  <si>
    <t>D06加班(H)</t>
  </si>
  <si>
    <t>D07当班(H)</t>
  </si>
  <si>
    <t>D07加班(H)</t>
  </si>
  <si>
    <t>D08当班(H)</t>
  </si>
  <si>
    <t>D08加班(H)</t>
  </si>
  <si>
    <t>D09当班(H)</t>
  </si>
  <si>
    <t>D09加班(H)</t>
  </si>
  <si>
    <t>D10当班(H)</t>
  </si>
  <si>
    <t>D10加班(H)</t>
  </si>
  <si>
    <t>D11当班(H)</t>
  </si>
  <si>
    <t>D11加班(H)</t>
  </si>
  <si>
    <t>D12当班(H)</t>
  </si>
  <si>
    <t>D12加班(H)</t>
  </si>
  <si>
    <t>D13当班(H)</t>
  </si>
  <si>
    <t>D13加班(H)</t>
  </si>
  <si>
    <t>D14当班(H)</t>
  </si>
  <si>
    <t>D14加班(H)</t>
  </si>
  <si>
    <t>D15当班(H)</t>
  </si>
  <si>
    <t>D15加班(H)</t>
  </si>
  <si>
    <t>D16当班(H)</t>
  </si>
  <si>
    <t>D16加班(H)</t>
  </si>
  <si>
    <t>D17当班(H)</t>
  </si>
  <si>
    <t>D17加班(H)</t>
  </si>
  <si>
    <t>D18当班(H)</t>
  </si>
  <si>
    <t>D18加班(H)</t>
  </si>
  <si>
    <t>D19当班(H)</t>
  </si>
  <si>
    <t>D19加班(H)</t>
  </si>
  <si>
    <t>D20当班(H)</t>
  </si>
  <si>
    <t>D20加班(H)</t>
  </si>
  <si>
    <t>D21当班(H)</t>
  </si>
  <si>
    <t>D21加班(H)</t>
  </si>
  <si>
    <t>D22当班(H)</t>
  </si>
  <si>
    <t>D22加班(H)</t>
  </si>
  <si>
    <t>D23当班(H)</t>
  </si>
  <si>
    <t>D23加班(H)</t>
  </si>
  <si>
    <t>D24当班(H)</t>
  </si>
  <si>
    <t>D24加班(H)</t>
  </si>
  <si>
    <t>D25当班(H)</t>
  </si>
  <si>
    <t>D25加班(H)</t>
  </si>
  <si>
    <t>D26当班(H)</t>
  </si>
  <si>
    <t>D26加班(H)</t>
  </si>
  <si>
    <t>D27当班(H)</t>
  </si>
  <si>
    <t>D27加班(H)</t>
  </si>
  <si>
    <t>D28当班(H)</t>
  </si>
  <si>
    <t>D28加班(H)</t>
  </si>
  <si>
    <t>D29当班(H)</t>
  </si>
  <si>
    <t>D29加班(H)</t>
  </si>
  <si>
    <t>D30当班(H)</t>
  </si>
  <si>
    <t>D30加班(H)</t>
  </si>
  <si>
    <t>D31当班(H)</t>
  </si>
  <si>
    <t>D31加班(H)</t>
  </si>
  <si>
    <t>G1{SUM}</t>
  </si>
  <si>
    <t>G1{AVERAGE}</t>
  </si>
  <si>
    <t>G1{SUM}</t>
    <phoneticPr fontId="5" type="noConversion"/>
  </si>
  <si>
    <t>EMP_CONTACT</t>
  </si>
  <si>
    <t>EMP_TYPE</t>
  </si>
  <si>
    <t>STATURE</t>
  </si>
  <si>
    <t>SOCIALINSURANCEPAYADDR</t>
  </si>
  <si>
    <t>WORKADDRESS</t>
  </si>
  <si>
    <t>ENTRYDATE</t>
  </si>
  <si>
    <t>Date</t>
    <phoneticPr fontId="5" type="noConversion"/>
  </si>
  <si>
    <t>BL_NAME</t>
    <phoneticPr fontId="5" type="noConversion"/>
  </si>
  <si>
    <t>PRJ_TYPE</t>
    <phoneticPr fontId="5" type="noConversion"/>
  </si>
  <si>
    <t>其他收入</t>
  </si>
  <si>
    <t>差旅收入</t>
    <phoneticPr fontId="5" type="noConversion"/>
  </si>
  <si>
    <t>离岗日期</t>
    <phoneticPr fontId="5" type="noConversion"/>
  </si>
  <si>
    <t>工时记录
开始日</t>
    <phoneticPr fontId="36" type="noConversion"/>
  </si>
  <si>
    <t>工时记录
结束日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</si>
  <si>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</si>
  <si>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</si>
  <si>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</si>
  <si>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</si>
  <si>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</si>
  <si>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计价单位</t>
    <phoneticPr fontId="5" type="noConversion"/>
  </si>
  <si>
    <t>试用费率</t>
    <phoneticPr fontId="5" type="noConversion"/>
  </si>
  <si>
    <t>项目工时(H)</t>
    <phoneticPr fontId="5" type="noConversion"/>
  </si>
  <si>
    <t>TP</t>
    <phoneticPr fontId="5" type="noConversion"/>
  </si>
  <si>
    <t>项目类型</t>
    <phoneticPr fontId="5" type="noConversion"/>
  </si>
  <si>
    <t>工作开始日(理论)</t>
    <phoneticPr fontId="5" type="noConversion"/>
  </si>
  <si>
    <t>工作结束日(理论)</t>
    <phoneticPr fontId="5" type="noConversion"/>
  </si>
  <si>
    <t>到岗日期</t>
    <phoneticPr fontId="5" type="noConversion"/>
  </si>
  <si>
    <t>项目名称</t>
    <phoneticPr fontId="36" type="noConversion"/>
  </si>
  <si>
    <t>业务线</t>
    <phoneticPr fontId="36" type="noConversion"/>
  </si>
  <si>
    <t/>
  </si>
  <si>
    <t>周末加班%</t>
    <phoneticPr fontId="5" type="noConversion"/>
  </si>
  <si>
    <t>假日加班%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</si>
  <si>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</si>
  <si>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</si>
  <si>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</si>
  <si>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</si>
  <si>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当班(H)</t>
  </si>
  <si>
    <t>工号</t>
    <phoneticPr fontId="5" type="noConversion"/>
  </si>
  <si>
    <t>部门</t>
    <phoneticPr fontId="36" type="noConversion"/>
  </si>
  <si>
    <t>项目ID
(工时卡)</t>
    <phoneticPr fontId="36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</si>
  <si>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</si>
  <si>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</si>
  <si>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</si>
  <si>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</si>
  <si>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绩效系数</t>
    <phoneticPr fontId="5" type="noConversion"/>
  </si>
  <si>
    <t>项目ID
(人员清单)</t>
    <phoneticPr fontId="5" type="noConversion"/>
  </si>
  <si>
    <t>人力收入</t>
    <phoneticPr fontId="5" type="noConversion"/>
  </si>
  <si>
    <t>人力单价</t>
    <phoneticPr fontId="5" type="noConversion"/>
  </si>
  <si>
    <t>平日加班%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</si>
  <si>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</si>
  <si>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</si>
  <si>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</si>
  <si>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</si>
  <si>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试用天数</t>
    <phoneticPr fontId="5" type="noConversion"/>
  </si>
  <si>
    <t>差旅单价(人天)</t>
    <phoneticPr fontId="5" type="noConversion"/>
  </si>
  <si>
    <t>计费方式</t>
    <phoneticPr fontId="5" type="noConversion"/>
  </si>
  <si>
    <t>工时记录
开始日</t>
    <phoneticPr fontId="36" type="noConversion"/>
  </si>
  <si>
    <t>工时记录
结束日</t>
    <phoneticPr fontId="5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</si>
  <si>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</si>
  <si>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</si>
  <si>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</si>
  <si>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</si>
  <si>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</si>
  <si>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</si>
  <si>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</si>
  <si>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</si>
  <si>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</si>
  <si>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</si>
  <si>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工作地点</t>
    <phoneticPr fontId="36" type="noConversion"/>
  </si>
  <si>
    <t>项目编号</t>
    <phoneticPr fontId="36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</si>
  <si>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</si>
  <si>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</si>
  <si>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</si>
  <si>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</si>
  <si>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</si>
  <si>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</si>
  <si>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</si>
  <si>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项目工时(人日)</t>
  </si>
  <si>
    <t>当班工时(人日)</t>
  </si>
  <si>
    <t>平日加班(人日)</t>
  </si>
  <si>
    <t>周末加班(人日)</t>
  </si>
  <si>
    <t>假日加班(人日)</t>
  </si>
  <si>
    <t>人力交付收入</t>
  </si>
  <si>
    <t>差异值
(人日)</t>
  </si>
  <si>
    <t>理论工时(人日)</t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</si>
  <si>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</si>
  <si>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</si>
  <si>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</si>
  <si>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</si>
  <si>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TP</t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</si>
  <si>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</si>
  <si>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</si>
  <si>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</si>
  <si>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</si>
  <si>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</si>
  <si>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</si>
  <si>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</si>
  <si>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</si>
  <si>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</si>
  <si>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</si>
  <si>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</si>
  <si>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</si>
  <si>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</si>
  <si>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</si>
  <si>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</si>
  <si>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</si>
  <si>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</si>
  <si>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</si>
  <si>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</si>
  <si>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</si>
  <si>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</si>
  <si>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</si>
  <si>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</si>
  <si>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</si>
  <si>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</si>
  <si>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</si>
  <si>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</si>
  <si>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</si>
  <si>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</si>
  <si>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</si>
  <si>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</si>
  <si>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</si>
  <si>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</si>
  <si>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</si>
  <si>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</si>
  <si>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</si>
  <si>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</si>
  <si>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</si>
  <si>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</si>
  <si>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</si>
  <si>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</si>
  <si>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</si>
  <si>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</si>
  <si>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月度标准工时</t>
    <phoneticPr fontId="36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</si>
  <si>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</si>
  <si>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</si>
  <si>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</si>
  <si>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</si>
  <si>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</si>
  <si>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</si>
  <si>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</si>
  <si>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</si>
  <si>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</si>
  <si>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</si>
  <si>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到岗日期</t>
    <phoneticPr fontId="5" type="noConversion"/>
  </si>
  <si>
    <t>离岗日期</t>
    <phoneticPr fontId="5" type="noConversion"/>
  </si>
  <si>
    <t>工作地点</t>
    <phoneticPr fontId="36" type="noConversion"/>
  </si>
  <si>
    <t>项目编号</t>
    <phoneticPr fontId="36" type="noConversion"/>
  </si>
  <si>
    <t>项目名称</t>
    <phoneticPr fontId="36" type="noConversion"/>
  </si>
  <si>
    <t>业务线</t>
    <phoneticPr fontId="36" type="noConversion"/>
  </si>
  <si>
    <t>试用天数</t>
    <phoneticPr fontId="5" type="noConversion"/>
  </si>
  <si>
    <t>试用费率</t>
    <phoneticPr fontId="5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</si>
  <si>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</si>
  <si>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</si>
  <si>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</si>
  <si>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</si>
  <si>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人力收入
 (人日)</t>
  </si>
  <si>
    <t>差旅单价(人天)</t>
    <phoneticPr fontId="5" type="noConversion"/>
  </si>
  <si>
    <t>计费方式</t>
    <phoneticPr fontId="5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</si>
  <si>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</si>
  <si>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</si>
  <si>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</si>
  <si>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理论工时(人日)</t>
    <phoneticPr fontId="37" type="noConversion"/>
  </si>
  <si>
    <t>工时记录
开始日</t>
    <phoneticPr fontId="36" type="noConversion"/>
  </si>
  <si>
    <t>工时记录
结束日</t>
    <phoneticPr fontId="5" type="noConversion"/>
  </si>
  <si>
    <t>差异工时(H)</t>
    <phoneticPr fontId="37" type="noConversion"/>
  </si>
  <si>
    <t>分摊工时(H)</t>
  </si>
  <si>
    <t>标准工时(H)</t>
  </si>
  <si>
    <t>项目工时(H)</t>
    <phoneticPr fontId="5" type="noConversion"/>
  </si>
  <si>
    <t>当班(H)</t>
    <phoneticPr fontId="5" type="noConversion"/>
  </si>
  <si>
    <t>请假(H)</t>
  </si>
  <si>
    <t>调休(H)</t>
  </si>
  <si>
    <t>当前月</t>
    <phoneticPr fontId="5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</si>
  <si>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</si>
  <si>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</si>
  <si>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</si>
  <si>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</si>
  <si>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备注</t>
    <phoneticPr fontId="5" type="noConversion"/>
  </si>
  <si>
    <t>项目信息</t>
    <phoneticPr fontId="5" type="noConversion"/>
  </si>
  <si>
    <t>客户定价</t>
    <phoneticPr fontId="5" type="noConversion"/>
  </si>
  <si>
    <t>时间比较</t>
    <phoneticPr fontId="5" type="noConversion"/>
  </si>
  <si>
    <t>工时比较</t>
    <phoneticPr fontId="5" type="noConversion"/>
  </si>
  <si>
    <t>Check</t>
    <phoneticPr fontId="5" type="noConversion"/>
  </si>
  <si>
    <t>部门</t>
  </si>
  <si>
    <t>联系方式</t>
  </si>
  <si>
    <t>类别</t>
  </si>
  <si>
    <t>状态</t>
  </si>
  <si>
    <t>入职地点</t>
  </si>
  <si>
    <t>入职日期</t>
  </si>
  <si>
    <t>离职日期</t>
  </si>
  <si>
    <t>到岗日期</t>
    <phoneticPr fontId="5" type="noConversion"/>
  </si>
  <si>
    <t>离岗日期</t>
    <phoneticPr fontId="5" type="noConversion"/>
  </si>
  <si>
    <t>工作地点</t>
  </si>
  <si>
    <t>项目编号</t>
  </si>
  <si>
    <t>试用天数</t>
    <phoneticPr fontId="5" type="noConversion"/>
  </si>
  <si>
    <t>试用费率</t>
    <phoneticPr fontId="5" type="noConversion"/>
  </si>
  <si>
    <t>客户</t>
  </si>
  <si>
    <t>客户定级</t>
  </si>
  <si>
    <t>人力单价</t>
  </si>
  <si>
    <t>计价单位</t>
  </si>
  <si>
    <t>差旅单价(人天)</t>
    <phoneticPr fontId="5" type="noConversion"/>
  </si>
  <si>
    <t>计费方式</t>
    <phoneticPr fontId="5" type="noConversion"/>
  </si>
  <si>
    <t>本月开始日(理论)</t>
    <phoneticPr fontId="5" type="noConversion"/>
  </si>
  <si>
    <t>本月结束日(理论)</t>
    <phoneticPr fontId="5" type="noConversion"/>
  </si>
  <si>
    <t>理论工时(人日)</t>
    <phoneticPr fontId="5" type="noConversion"/>
  </si>
  <si>
    <t>工时记录
开始日</t>
    <phoneticPr fontId="36" type="noConversion"/>
  </si>
  <si>
    <t>工时记录
结束日</t>
    <phoneticPr fontId="5" type="noConversion"/>
  </si>
  <si>
    <t>差异工时(H)</t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</si>
  <si>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</si>
  <si>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</si>
  <si>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</si>
  <si>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</si>
  <si>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</si>
  <si>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</si>
  <si>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</si>
  <si>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G1{COUNTA}</t>
    <phoneticPr fontId="5" type="noConversion"/>
  </si>
  <si>
    <t>读取行数</t>
    <phoneticPr fontId="5" type="noConversion"/>
  </si>
  <si>
    <t>导入记录</t>
    <phoneticPr fontId="5" type="noConversion"/>
  </si>
  <si>
    <t>失败记录</t>
    <phoneticPr fontId="5" type="noConversion"/>
  </si>
  <si>
    <t>忽略行数</t>
    <phoneticPr fontId="5" type="noConversion"/>
  </si>
  <si>
    <t>导入/导出名称</t>
    <phoneticPr fontId="5" type="noConversion"/>
  </si>
  <si>
    <t>导入/导出名称</t>
    <phoneticPr fontId="5" type="noConversion"/>
  </si>
  <si>
    <t>TP</t>
    <phoneticPr fontId="5" type="noConversion"/>
  </si>
  <si>
    <t>工号</t>
    <phoneticPr fontId="5" type="noConversion"/>
  </si>
  <si>
    <t>部门</t>
    <phoneticPr fontId="36" type="noConversion"/>
  </si>
  <si>
    <t>项目ID
(人员清单)</t>
    <phoneticPr fontId="5" type="noConversion"/>
  </si>
  <si>
    <t>项目ID
(工时卡)</t>
    <phoneticPr fontId="36" type="noConversion"/>
  </si>
  <si>
    <t>项目名称</t>
    <phoneticPr fontId="36" type="noConversion"/>
  </si>
  <si>
    <t>业务线</t>
    <phoneticPr fontId="36" type="noConversion"/>
  </si>
  <si>
    <t>项目类型</t>
    <phoneticPr fontId="5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</si>
  <si>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</si>
  <si>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</si>
  <si>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</si>
  <si>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</si>
  <si>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</si>
  <si>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</si>
  <si>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</si>
  <si>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计费人天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</si>
  <si>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</si>
  <si>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</si>
  <si>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</si>
  <si>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</si>
  <si>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</si>
  <si>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</si>
  <si>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</si>
  <si>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</si>
  <si>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</si>
  <si>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</si>
  <si>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</si>
  <si>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</si>
  <si>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</si>
  <si>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</si>
  <si>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</si>
  <si>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</si>
  <si>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</si>
  <si>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</si>
  <si>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</si>
  <si>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</si>
  <si>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</si>
  <si>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</si>
  <si>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</si>
  <si>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</si>
  <si>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</si>
  <si>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</si>
  <si>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</si>
  <si>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</si>
  <si>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</si>
  <si>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</si>
  <si>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</si>
  <si>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</si>
  <si>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</si>
  <si>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</si>
  <si>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</si>
  <si>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</si>
  <si>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</si>
  <si>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</si>
  <si>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</si>
  <si>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</si>
  <si>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人月</t>
    <phoneticPr fontId="5" type="noConversion"/>
  </si>
  <si>
    <t>人天</t>
    <phoneticPr fontId="5" type="noConversion"/>
  </si>
  <si>
    <t>人时</t>
    <phoneticPr fontId="5" type="noConversion"/>
  </si>
  <si>
    <t>月度标准工时</t>
    <phoneticPr fontId="36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</si>
  <si>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</si>
  <si>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</si>
  <si>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</si>
  <si>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</si>
  <si>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项目信息</t>
    <phoneticPr fontId="5" type="noConversion"/>
  </si>
  <si>
    <t>对账信息</t>
    <phoneticPr fontId="5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</si>
  <si>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</si>
  <si>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</si>
  <si>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</si>
  <si>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</si>
  <si>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</si>
  <si>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备注</t>
    <phoneticPr fontId="36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</si>
  <si>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</si>
  <si>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</si>
  <si>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</si>
  <si>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</si>
  <si>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</si>
  <si>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项目工时(人日)</t>
    <phoneticPr fontId="5" type="noConversion"/>
  </si>
  <si>
    <t>当班(H)</t>
    <phoneticPr fontId="5" type="noConversion"/>
  </si>
  <si>
    <t>导入记录</t>
    <phoneticPr fontId="5" type="noConversion"/>
  </si>
  <si>
    <t>失败记录</t>
    <phoneticPr fontId="5" type="noConversion"/>
  </si>
  <si>
    <t>工号</t>
    <phoneticPr fontId="5" type="noConversion"/>
  </si>
  <si>
    <t>姓名</t>
    <phoneticPr fontId="5" type="noConversion"/>
  </si>
  <si>
    <t>年份</t>
    <phoneticPr fontId="5" type="noConversion"/>
  </si>
  <si>
    <t>月份</t>
    <phoneticPr fontId="5" type="noConversion"/>
  </si>
  <si>
    <t>模板Sheet名称</t>
    <phoneticPr fontId="5" type="noConversion"/>
  </si>
  <si>
    <t>导入/导出区域数</t>
    <phoneticPr fontId="5" type="noConversion"/>
  </si>
  <si>
    <t>Excel模板文件名称</t>
    <phoneticPr fontId="5" type="noConversion"/>
  </si>
  <si>
    <t>tbl_tpl.xlsx</t>
    <phoneticPr fontId="5" type="noConversion"/>
  </si>
  <si>
    <t>XML配置文件名称</t>
    <phoneticPr fontId="5" type="noConversion"/>
  </si>
  <si>
    <t>tbl_tpl.xml</t>
    <phoneticPr fontId="5" type="noConversion"/>
  </si>
  <si>
    <t>模板ID</t>
    <phoneticPr fontId="5" type="noConversion"/>
  </si>
  <si>
    <t>tbls</t>
    <phoneticPr fontId="5" type="noConversion"/>
  </si>
  <si>
    <t>导入/导出Sheet配置</t>
    <phoneticPr fontId="5" type="noConversion"/>
  </si>
  <si>
    <t>_LIST_,_TBL_</t>
    <phoneticPr fontId="5" type="noConversion"/>
  </si>
  <si>
    <t>不导入的Sheet</t>
    <phoneticPr fontId="5" type="noConversion"/>
  </si>
  <si>
    <t>Notes,TBL_LIST,_*_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</si>
</sst>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0"/>
    <numFmt numFmtId="178" formatCode="#,##0_);[Red]\(#,##0\)"/>
    <numFmt numFmtId="179" formatCode="m/d;@"/>
    <numFmt numFmtId="180" formatCode="0_);[Red]\(0\)"/>
    <numFmt numFmtId="181" formatCode="\W0"/>
    <numFmt numFmtId="182" formatCode="[$-804]aaa;@"/>
    <numFmt numFmtId="183" formatCode="yyyy/m/d;@"/>
  </numFmts>
  <fonts count="46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Times New Roman"/>
      <family val="1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1"/>
      <charset val="136"/>
      <scheme val="minor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Helv"/>
      <family val="2"/>
    </font>
    <font>
      <sz val="12"/>
      <name val="新細明體"/>
      <family val="1"/>
      <charset val="136"/>
    </font>
    <font>
      <b/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8"/>
      <name val="微软雅黑"/>
      <family val="2"/>
      <charset val="134"/>
    </font>
    <font>
      <b/>
      <sz val="8"/>
      <color rgb="FF7030A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b/>
      <sz val="8"/>
      <color rgb="FF00B050"/>
      <name val="微软雅黑"/>
      <family val="2"/>
      <charset val="134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8"/>
      <color rgb="FF000000"/>
      <name val="微软雅黑"/>
      <family val="2"/>
      <charset val="134"/>
    </font>
    <font>
      <sz val="11"/>
      <color rgb="FF000000"/>
      <name val="华文琥珀"/>
      <family val="3"/>
      <charset val="134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uble">
        <color indexed="64"/>
      </right>
      <top/>
      <bottom style="thin">
        <color indexed="64"/>
      </bottom>
      <diagonal/>
    </border>
  </borders>
  <cellStyleXfs count="98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/>
    <xf numFmtId="0" fontId="7" fillId="0" borderId="0" applyBorder="0"/>
    <xf numFmtId="0" fontId="8" fillId="0" borderId="0" applyProtection="0"/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0" applyBorder="0"/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38" fontId="11" fillId="0" borderId="0"/>
    <xf numFmtId="0" fontId="12" fillId="0" borderId="1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6" fillId="4" borderId="0" applyNumberFormat="0" applyBorder="0" applyAlignment="0" applyProtection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 applyProtection="0"/>
    <xf numFmtId="0" fontId="17" fillId="0" borderId="0">
      <alignment vertical="center"/>
    </xf>
    <xf numFmtId="0" fontId="17" fillId="0" borderId="0">
      <alignment vertical="center"/>
    </xf>
    <xf numFmtId="0" fontId="2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" fillId="0" borderId="0"/>
    <xf numFmtId="0" fontId="17" fillId="0" borderId="0">
      <alignment vertical="center"/>
    </xf>
    <xf numFmtId="0" fontId="19" fillId="0" borderId="0"/>
    <xf numFmtId="0" fontId="20" fillId="0" borderId="0"/>
    <xf numFmtId="0" fontId="21" fillId="5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24" fillId="18" borderId="6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9" fillId="0" borderId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17" borderId="8" applyNumberFormat="0" applyAlignment="0" applyProtection="0">
      <alignment vertical="center"/>
    </xf>
    <xf numFmtId="0" fontId="30" fillId="8" borderId="5" applyNumberFormat="0" applyAlignment="0" applyProtection="0">
      <alignment vertical="center"/>
    </xf>
    <xf numFmtId="0" fontId="31" fillId="0" borderId="0"/>
    <xf numFmtId="0" fontId="6" fillId="0" borderId="0"/>
    <xf numFmtId="0" fontId="32" fillId="0" borderId="0">
      <alignment vertical="center"/>
    </xf>
    <xf numFmtId="0" fontId="6" fillId="0" borderId="0"/>
    <xf numFmtId="0" fontId="6" fillId="24" borderId="9" applyNumberFormat="0" applyFont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2" fillId="0" borderId="0"/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</cellStyleXfs>
  <cellXfs count="210">
    <xf numFmtId="0" fontId="0" fillId="0" borderId="0" xfId="0"/>
    <xf numFmtId="0" fontId="0" fillId="25" borderId="0" xfId="0" applyFill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3" fillId="25" borderId="0" xfId="0" applyFont="1" applyFill="1" applyAlignment="1">
      <alignment horizontal="center" vertical="center"/>
    </xf>
    <xf numFmtId="0" fontId="34" fillId="0" borderId="0" xfId="0" applyFont="1" applyAlignment="1">
      <alignment vertical="center" shrinkToFit="1"/>
    </xf>
    <xf numFmtId="0" fontId="34" fillId="0" borderId="0" xfId="0" applyFont="1" applyAlignment="1">
      <alignment vertical="center" wrapText="1" shrinkToFit="1"/>
    </xf>
    <xf numFmtId="0" fontId="34" fillId="0" borderId="0" xfId="0" applyFont="1" applyAlignment="1">
      <alignment wrapText="1"/>
    </xf>
    <xf numFmtId="46" fontId="0" fillId="0" borderId="0" xfId="0" quotePrefix="1" applyNumberFormat="1"/>
    <xf numFmtId="46" fontId="0" fillId="25" borderId="0" xfId="0" applyNumberFormat="1" applyFill="1" applyAlignment="1">
      <alignment horizontal="center"/>
    </xf>
    <xf numFmtId="46" fontId="0" fillId="0" borderId="0" xfId="0" applyNumberFormat="1"/>
    <xf numFmtId="0" fontId="34" fillId="0" borderId="0" xfId="0" applyFont="1" applyAlignment="1"/>
    <xf numFmtId="0" fontId="0" fillId="0" borderId="0" xfId="0" applyAlignment="1">
      <alignment horizontal="center"/>
    </xf>
    <xf numFmtId="0" fontId="33" fillId="0" borderId="0" xfId="90" applyNumberFormat="1" applyFont="1"/>
    <xf numFmtId="0" fontId="34" fillId="32" borderId="0" xfId="0" applyFont="1" applyFill="1"/>
    <xf numFmtId="0" fontId="38" fillId="26" borderId="18" xfId="0" applyFont="1" applyFill="1" applyBorder="1" applyAlignment="1">
      <alignment horizontal="center" vertical="center" wrapText="1"/>
    </xf>
    <xf numFmtId="0" fontId="39" fillId="26" borderId="19" xfId="0" applyFont="1" applyFill="1" applyBorder="1" applyAlignment="1">
      <alignment horizontal="center" vertical="center" wrapText="1"/>
    </xf>
    <xf numFmtId="0" fontId="40" fillId="26" borderId="19" xfId="0" applyFont="1" applyFill="1" applyBorder="1" applyAlignment="1">
      <alignment horizontal="center" vertical="center" wrapText="1"/>
    </xf>
    <xf numFmtId="0" fontId="41" fillId="26" borderId="20" xfId="0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/>
    </xf>
    <xf numFmtId="0" fontId="38" fillId="25" borderId="17" xfId="91" applyFont="1" applyFill="1" applyBorder="1" applyAlignment="1">
      <alignment horizontal="center" vertical="center"/>
    </xf>
    <xf numFmtId="0" fontId="43" fillId="0" borderId="0" xfId="0" applyNumberFormat="1" applyFont="1"/>
    <xf numFmtId="0" fontId="33" fillId="25" borderId="17" xfId="92" applyFont="1" applyFill="1" applyBorder="1" applyAlignment="1">
      <alignment horizontal="center" vertical="center"/>
    </xf>
    <xf numFmtId="0" fontId="33" fillId="40" borderId="17" xfId="92" applyFont="1" applyFill="1" applyBorder="1" applyAlignment="1">
      <alignment horizontal="center" vertical="center"/>
    </xf>
    <xf numFmtId="0" fontId="33" fillId="2" borderId="17" xfId="91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7" fontId="33" fillId="39" borderId="17" xfId="0" applyNumberFormat="1" applyFont="1" applyFill="1" applyBorder="1" applyAlignment="1">
      <alignment horizontal="center" vertical="center"/>
    </xf>
    <xf numFmtId="177" fontId="33" fillId="38" borderId="17" xfId="0" applyNumberFormat="1" applyFont="1" applyFill="1" applyBorder="1" applyAlignment="1">
      <alignment horizontal="center" vertical="center"/>
    </xf>
    <xf numFmtId="179" fontId="33" fillId="38" borderId="17" xfId="0" applyNumberFormat="1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180" fontId="34" fillId="26" borderId="18" xfId="0" applyNumberFormat="1" applyFont="1" applyFill="1" applyBorder="1" applyAlignment="1">
      <alignment horizontal="center"/>
    </xf>
    <xf numFmtId="180" fontId="34" fillId="26" borderId="19" xfId="0" applyNumberFormat="1" applyFont="1" applyFill="1" applyBorder="1" applyAlignment="1">
      <alignment horizontal="center"/>
    </xf>
    <xf numFmtId="180" fontId="34" fillId="26" borderId="20" xfId="0" applyNumberFormat="1" applyFont="1" applyFill="1" applyBorder="1" applyAlignment="1">
      <alignment horizontal="center"/>
    </xf>
    <xf numFmtId="179" fontId="33" fillId="26" borderId="18" xfId="0" applyNumberFormat="1" applyFont="1" applyFill="1" applyBorder="1" applyAlignment="1">
      <alignment horizontal="center" vertical="center"/>
    </xf>
    <xf numFmtId="181" fontId="33" fillId="26" borderId="19" xfId="0" applyNumberFormat="1" applyFont="1" applyFill="1" applyBorder="1" applyAlignment="1">
      <alignment horizontal="center" vertical="center"/>
    </xf>
    <xf numFmtId="182" fontId="33" fillId="26" borderId="19" xfId="0" applyNumberFormat="1" applyFont="1" applyFill="1" applyBorder="1" applyAlignment="1">
      <alignment horizontal="center" vertical="center"/>
    </xf>
    <xf numFmtId="0" fontId="33" fillId="26" borderId="20" xfId="0" applyFont="1" applyFill="1" applyBorder="1" applyAlignment="1">
      <alignment horizontal="center" vertical="center"/>
    </xf>
    <xf numFmtId="0" fontId="33" fillId="40" borderId="16" xfId="97" applyFont="1" applyFill="1" applyBorder="1" applyAlignment="1">
      <alignment horizontal="center" vertical="center" wrapText="1"/>
    </xf>
    <xf numFmtId="0" fontId="33" fillId="33" borderId="16" xfId="97" applyFont="1" applyFill="1" applyBorder="1" applyAlignment="1">
      <alignment horizontal="center" vertical="center" wrapText="1"/>
    </xf>
    <xf numFmtId="0" fontId="33" fillId="26" borderId="17" xfId="97" applyFont="1" applyFill="1" applyBorder="1" applyAlignment="1">
      <alignment horizontal="center" vertical="center" wrapText="1"/>
    </xf>
    <xf numFmtId="0" fontId="41" fillId="2" borderId="24" xfId="0" applyFont="1" applyFill="1" applyBorder="1" applyAlignment="1">
      <alignment horizontal="center" vertical="center" wrapText="1"/>
    </xf>
    <xf numFmtId="0" fontId="33" fillId="25" borderId="17" xfId="97" applyFont="1" applyFill="1" applyBorder="1" applyAlignment="1">
      <alignment horizontal="center" vertical="center" wrapText="1"/>
    </xf>
    <xf numFmtId="0" fontId="33" fillId="30" borderId="25" xfId="97" applyFont="1" applyFill="1" applyBorder="1" applyAlignment="1">
      <alignment horizontal="center" vertical="center" wrapText="1"/>
    </xf>
    <xf numFmtId="0" fontId="33" fillId="42" borderId="25" xfId="97" applyFont="1" applyFill="1" applyBorder="1" applyAlignment="1">
      <alignment horizontal="center" vertical="center" wrapText="1"/>
    </xf>
    <xf numFmtId="0" fontId="33" fillId="36" borderId="25" xfId="97" applyFont="1" applyFill="1" applyBorder="1" applyAlignment="1">
      <alignment horizontal="center" vertical="center" wrapText="1"/>
    </xf>
    <xf numFmtId="0" fontId="33" fillId="28" borderId="25" xfId="97" applyFont="1" applyFill="1" applyBorder="1" applyAlignment="1">
      <alignment horizontal="center" vertical="center" wrapText="1"/>
    </xf>
    <xf numFmtId="0" fontId="33" fillId="26" borderId="25" xfId="97" applyFont="1" applyFill="1" applyBorder="1" applyAlignment="1">
      <alignment horizontal="center" vertical="center" wrapText="1"/>
    </xf>
    <xf numFmtId="176" fontId="33" fillId="27" borderId="25" xfId="97" applyNumberFormat="1" applyFont="1" applyFill="1" applyBorder="1" applyAlignment="1">
      <alignment horizontal="center" vertical="center" wrapText="1"/>
    </xf>
    <xf numFmtId="0" fontId="33" fillId="31" borderId="25" xfId="0" applyFont="1" applyFill="1" applyBorder="1" applyAlignment="1">
      <alignment horizontal="center" vertical="center" wrapText="1"/>
    </xf>
    <xf numFmtId="0" fontId="38" fillId="2" borderId="25" xfId="0" applyFont="1" applyFill="1" applyBorder="1" applyAlignment="1">
      <alignment horizontal="center" vertical="center" wrapText="1"/>
    </xf>
    <xf numFmtId="0" fontId="39" fillId="2" borderId="25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33" fillId="29" borderId="10" xfId="97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/>
    </xf>
    <xf numFmtId="0" fontId="33" fillId="25" borderId="25" xfId="92" applyFont="1" applyFill="1" applyBorder="1" applyAlignment="1">
      <alignment horizontal="center" vertical="center" wrapText="1"/>
    </xf>
    <xf numFmtId="0" fontId="33" fillId="2" borderId="25" xfId="92" applyFont="1" applyFill="1" applyBorder="1" applyAlignment="1">
      <alignment horizontal="center" vertical="center" wrapText="1"/>
    </xf>
    <xf numFmtId="9" fontId="33" fillId="2" borderId="25" xfId="92" applyNumberFormat="1" applyFont="1" applyFill="1" applyBorder="1" applyAlignment="1">
      <alignment horizontal="center" vertical="center" wrapText="1"/>
    </xf>
    <xf numFmtId="0" fontId="33" fillId="26" borderId="25" xfId="92" applyFont="1" applyFill="1" applyBorder="1" applyAlignment="1">
      <alignment horizontal="center" vertical="center" wrapText="1"/>
    </xf>
    <xf numFmtId="0" fontId="0" fillId="0" borderId="0" xfId="0" quotePrefix="1"/>
    <xf numFmtId="178" fontId="33" fillId="40" borderId="16" xfId="97" applyNumberFormat="1" applyFont="1" applyFill="1" applyBorder="1" applyAlignment="1">
      <alignment horizontal="center" vertical="center" wrapText="1"/>
    </xf>
    <xf numFmtId="0" fontId="34" fillId="0" borderId="12" xfId="97" applyFont="1" applyFill="1" applyBorder="1" applyAlignment="1">
      <alignment horizontal="center" vertical="center"/>
    </xf>
    <xf numFmtId="0" fontId="38" fillId="2" borderId="17" xfId="0" applyFont="1" applyFill="1" applyBorder="1" applyAlignment="1">
      <alignment horizontal="center" vertical="center" wrapText="1"/>
    </xf>
    <xf numFmtId="0" fontId="39" fillId="2" borderId="17" xfId="0" applyFont="1" applyFill="1" applyBorder="1" applyAlignment="1">
      <alignment horizontal="center" vertical="center" wrapText="1"/>
    </xf>
    <xf numFmtId="0" fontId="40" fillId="2" borderId="17" xfId="0" applyFont="1" applyFill="1" applyBorder="1" applyAlignment="1">
      <alignment horizontal="center" vertical="center" wrapText="1"/>
    </xf>
    <xf numFmtId="0" fontId="41" fillId="2" borderId="13" xfId="0" applyFont="1" applyFill="1" applyBorder="1" applyAlignment="1">
      <alignment horizontal="center" vertical="center" wrapText="1"/>
    </xf>
    <xf numFmtId="0" fontId="34" fillId="0" borderId="0" xfId="97" quotePrefix="1" applyFont="1">
      <alignment vertical="center"/>
    </xf>
    <xf numFmtId="0" fontId="34" fillId="0" borderId="0" xfId="97" applyFont="1">
      <alignment vertical="center"/>
    </xf>
    <xf numFmtId="0" fontId="33" fillId="38" borderId="13" xfId="0" applyFont="1" applyFill="1" applyBorder="1" applyAlignment="1">
      <alignment horizontal="center" vertical="center"/>
    </xf>
    <xf numFmtId="0" fontId="33" fillId="38" borderId="12" xfId="0" applyFont="1" applyFill="1" applyBorder="1" applyAlignment="1">
      <alignment horizontal="center" vertical="center"/>
    </xf>
    <xf numFmtId="14" fontId="34" fillId="29" borderId="21" xfId="97" applyNumberFormat="1" applyFont="1" applyFill="1" applyBorder="1">
      <alignment vertical="center"/>
    </xf>
    <xf numFmtId="183" fontId="34" fillId="29" borderId="21" xfId="97" applyNumberFormat="1" applyFont="1" applyFill="1" applyBorder="1" applyAlignment="1">
      <alignment horizontal="right" vertical="center"/>
    </xf>
    <xf numFmtId="0" fontId="34" fillId="0" borderId="0" xfId="97" applyFont="1" applyBorder="1">
      <alignment vertical="center"/>
    </xf>
    <xf numFmtId="176" fontId="34" fillId="0" borderId="0" xfId="97" applyNumberFormat="1" applyFont="1" applyBorder="1">
      <alignment vertical="center"/>
    </xf>
    <xf numFmtId="0" fontId="44" fillId="37" borderId="27" xfId="97" applyFont="1" applyFill="1" applyBorder="1" applyAlignment="1">
      <alignment horizontal="left" vertical="center"/>
    </xf>
    <xf numFmtId="0" fontId="34" fillId="0" borderId="21" xfId="97" applyFont="1" applyFill="1" applyBorder="1">
      <alignment vertical="center"/>
    </xf>
    <xf numFmtId="0" fontId="33" fillId="25" borderId="25" xfId="97" applyFont="1" applyFill="1" applyBorder="1" applyAlignment="1">
      <alignment vertical="center" wrapText="1"/>
    </xf>
    <xf numFmtId="178" fontId="33" fillId="40" borderId="25" xfId="97" applyNumberFormat="1" applyFont="1" applyFill="1" applyBorder="1" applyAlignment="1">
      <alignment vertical="center" wrapText="1"/>
    </xf>
    <xf numFmtId="0" fontId="33" fillId="40" borderId="25" xfId="97" applyFont="1" applyFill="1" applyBorder="1" applyAlignment="1">
      <alignment vertical="center" wrapText="1"/>
    </xf>
    <xf numFmtId="0" fontId="33" fillId="33" borderId="25" xfId="97" applyFont="1" applyFill="1" applyBorder="1" applyAlignment="1">
      <alignment vertical="center" wrapText="1"/>
    </xf>
    <xf numFmtId="0" fontId="34" fillId="0" borderId="29" xfId="97" applyFont="1" applyFill="1" applyBorder="1">
      <alignment vertical="center"/>
    </xf>
    <xf numFmtId="0" fontId="34" fillId="0" borderId="22" xfId="97" applyFont="1" applyBorder="1">
      <alignment vertical="center"/>
    </xf>
    <xf numFmtId="0" fontId="41" fillId="2" borderId="26" xfId="0" applyFont="1" applyFill="1" applyBorder="1" applyAlignment="1">
      <alignment horizontal="center" vertical="center" wrapText="1"/>
    </xf>
    <xf numFmtId="0" fontId="34" fillId="0" borderId="0" xfId="97" applyFont="1" applyFill="1">
      <alignment vertical="center"/>
    </xf>
    <xf numFmtId="0" fontId="33" fillId="30" borderId="17" xfId="97" applyFont="1" applyFill="1" applyBorder="1" applyAlignment="1">
      <alignment horizontal="center" vertical="center" wrapText="1"/>
    </xf>
    <xf numFmtId="0" fontId="33" fillId="42" borderId="17" xfId="97" applyFont="1" applyFill="1" applyBorder="1" applyAlignment="1">
      <alignment horizontal="center" vertical="center" wrapText="1"/>
    </xf>
    <xf numFmtId="178" fontId="33" fillId="40" borderId="17" xfId="97" applyNumberFormat="1" applyFont="1" applyFill="1" applyBorder="1" applyAlignment="1">
      <alignment horizontal="center" vertical="center" wrapText="1"/>
    </xf>
    <xf numFmtId="0" fontId="33" fillId="40" borderId="17" xfId="97" applyFont="1" applyFill="1" applyBorder="1" applyAlignment="1">
      <alignment horizontal="center" vertical="center" wrapText="1"/>
    </xf>
    <xf numFmtId="0" fontId="33" fillId="28" borderId="17" xfId="97" applyFont="1" applyFill="1" applyBorder="1" applyAlignment="1">
      <alignment horizontal="center" vertical="center" wrapText="1"/>
    </xf>
    <xf numFmtId="0" fontId="33" fillId="33" borderId="17" xfId="97" applyFont="1" applyFill="1" applyBorder="1" applyAlignment="1">
      <alignment horizontal="center" vertical="center" wrapText="1"/>
    </xf>
    <xf numFmtId="0" fontId="33" fillId="36" borderId="17" xfId="97" applyFont="1" applyFill="1" applyBorder="1" applyAlignment="1">
      <alignment horizontal="center" vertical="center" wrapText="1"/>
    </xf>
    <xf numFmtId="176" fontId="33" fillId="27" borderId="17" xfId="97" applyNumberFormat="1" applyFont="1" applyFill="1" applyBorder="1" applyAlignment="1">
      <alignment horizontal="center" vertical="center" wrapText="1"/>
    </xf>
    <xf numFmtId="0" fontId="33" fillId="31" borderId="17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33" fillId="25" borderId="25" xfId="97" applyFont="1" applyFill="1" applyBorder="1" applyAlignment="1">
      <alignment horizontal="center" vertical="center" wrapText="1"/>
    </xf>
    <xf numFmtId="0" fontId="33" fillId="25" borderId="16" xfId="97" applyFont="1" applyFill="1" applyBorder="1" applyAlignment="1">
      <alignment horizontal="center" vertical="center" wrapText="1"/>
    </xf>
    <xf numFmtId="0" fontId="34" fillId="0" borderId="0" xfId="97" quotePrefix="1" applyFont="1" applyBorder="1">
      <alignment vertical="center"/>
    </xf>
    <xf numFmtId="0" fontId="34" fillId="0" borderId="0" xfId="97" applyFont="1" applyBorder="1" applyAlignment="1">
      <alignment horizontal="left" vertical="center"/>
    </xf>
    <xf numFmtId="0" fontId="34" fillId="29" borderId="0" xfId="97" applyFont="1" applyFill="1" applyBorder="1">
      <alignment vertical="center"/>
    </xf>
    <xf numFmtId="178" fontId="34" fillId="0" borderId="0" xfId="97" applyNumberFormat="1" applyFont="1" applyBorder="1">
      <alignment vertical="center"/>
    </xf>
    <xf numFmtId="183" fontId="34" fillId="0" borderId="0" xfId="97" applyNumberFormat="1" applyFont="1" applyBorder="1" applyAlignment="1">
      <alignment horizontal="right" vertical="center"/>
    </xf>
    <xf numFmtId="180" fontId="34" fillId="29" borderId="0" xfId="97" applyNumberFormat="1" applyFont="1" applyFill="1" applyBorder="1" applyAlignment="1">
      <alignment horizontal="right" vertical="center"/>
    </xf>
    <xf numFmtId="0" fontId="34" fillId="29" borderId="0" xfId="97" applyFont="1" applyFill="1" applyAlignment="1">
      <alignment horizontal="center" vertical="center" shrinkToFit="1"/>
    </xf>
    <xf numFmtId="0" fontId="34" fillId="0" borderId="0" xfId="0" applyFont="1" applyFill="1"/>
    <xf numFmtId="178" fontId="34" fillId="0" borderId="0" xfId="97" applyNumberFormat="1" applyFont="1">
      <alignment vertical="center"/>
    </xf>
    <xf numFmtId="0" fontId="34" fillId="29" borderId="0" xfId="97" applyFont="1" applyFill="1" applyAlignment="1">
      <alignment horizontal="center" vertical="center"/>
    </xf>
    <xf numFmtId="0" fontId="34" fillId="0" borderId="31" xfId="97" applyFont="1" applyBorder="1">
      <alignment vertical="center"/>
    </xf>
    <xf numFmtId="0" fontId="44" fillId="0" borderId="22" xfId="97" applyFont="1" applyBorder="1" applyAlignment="1">
      <alignment horizontal="left" vertical="center"/>
    </xf>
    <xf numFmtId="0" fontId="34" fillId="0" borderId="0" xfId="97" applyFont="1" applyFill="1" applyBorder="1">
      <alignment vertical="center"/>
    </xf>
    <xf numFmtId="0" fontId="33" fillId="25" borderId="16" xfId="97" applyFont="1" applyFill="1" applyBorder="1" applyAlignment="1">
      <alignment vertical="center" wrapText="1"/>
    </xf>
    <xf numFmtId="0" fontId="33" fillId="29" borderId="17" xfId="0" applyFont="1" applyFill="1" applyBorder="1" applyAlignment="1">
      <alignment horizontal="center" vertical="center"/>
    </xf>
    <xf numFmtId="0" fontId="34" fillId="29" borderId="0" xfId="97" applyFont="1" applyFill="1" applyBorder="1" applyAlignment="1">
      <alignment horizontal="center" vertical="center"/>
    </xf>
    <xf numFmtId="0" fontId="34" fillId="0" borderId="0" xfId="92" quotePrefix="1" applyFont="1" applyAlignment="1">
      <alignment vertical="center" shrinkToFit="1"/>
    </xf>
    <xf numFmtId="0" fontId="33" fillId="25" borderId="17" xfId="92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 wrapText="1"/>
    </xf>
    <xf numFmtId="0" fontId="33" fillId="25" borderId="13" xfId="91" applyFont="1" applyFill="1" applyBorder="1" applyAlignment="1">
      <alignment horizontal="center" vertical="center" wrapText="1"/>
    </xf>
    <xf numFmtId="0" fontId="33" fillId="40" borderId="17" xfId="92" applyFont="1" applyFill="1" applyBorder="1" applyAlignment="1">
      <alignment horizontal="center" vertical="center" wrapText="1"/>
    </xf>
    <xf numFmtId="0" fontId="33" fillId="2" borderId="17" xfId="92" applyFont="1" applyFill="1" applyBorder="1" applyAlignment="1">
      <alignment horizontal="center" vertical="center" wrapText="1"/>
    </xf>
    <xf numFmtId="0" fontId="33" fillId="2" borderId="17" xfId="91" applyFont="1" applyFill="1" applyBorder="1" applyAlignment="1">
      <alignment horizontal="center" vertical="center" wrapText="1"/>
    </xf>
    <xf numFmtId="9" fontId="33" fillId="2" borderId="17" xfId="92" applyNumberFormat="1" applyFont="1" applyFill="1" applyBorder="1" applyAlignment="1">
      <alignment horizontal="center" vertical="center" wrapText="1"/>
    </xf>
    <xf numFmtId="0" fontId="38" fillId="25" borderId="17" xfId="91" applyFont="1" applyFill="1" applyBorder="1" applyAlignment="1">
      <alignment horizontal="center" vertical="center" wrapText="1"/>
    </xf>
    <xf numFmtId="0" fontId="33" fillId="26" borderId="17" xfId="92" applyFont="1" applyFill="1" applyBorder="1" applyAlignment="1">
      <alignment horizontal="center" vertical="center" wrapText="1"/>
    </xf>
    <xf numFmtId="0" fontId="33" fillId="34" borderId="13" xfId="0" applyFont="1" applyFill="1" applyBorder="1" applyAlignment="1">
      <alignment horizontal="center" vertical="center" wrapText="1"/>
    </xf>
    <xf numFmtId="0" fontId="33" fillId="28" borderId="17" xfId="92" applyFont="1" applyFill="1" applyBorder="1" applyAlignment="1">
      <alignment horizontal="center" vertical="center" wrapText="1"/>
    </xf>
    <xf numFmtId="0" fontId="33" fillId="43" borderId="13" xfId="0" applyFont="1" applyFill="1" applyBorder="1" applyAlignment="1">
      <alignment horizontal="center" vertical="center" wrapText="1"/>
    </xf>
    <xf numFmtId="176" fontId="33" fillId="27" borderId="17" xfId="92" applyNumberFormat="1" applyFont="1" applyFill="1" applyBorder="1" applyAlignment="1">
      <alignment horizontal="center" vertical="center" wrapText="1"/>
    </xf>
    <xf numFmtId="0" fontId="34" fillId="29" borderId="0" xfId="92" quotePrefix="1" applyFont="1" applyFill="1" applyBorder="1" applyAlignment="1">
      <alignment horizontal="center" vertical="center"/>
    </xf>
    <xf numFmtId="0" fontId="34" fillId="0" borderId="0" xfId="92" quotePrefix="1" applyFont="1" applyBorder="1" applyAlignment="1">
      <alignment vertical="center"/>
    </xf>
    <xf numFmtId="0" fontId="34" fillId="0" borderId="0" xfId="92" applyFont="1" applyBorder="1" applyAlignment="1">
      <alignment vertical="center"/>
    </xf>
    <xf numFmtId="0" fontId="34" fillId="0" borderId="0" xfId="92" applyFont="1" applyBorder="1" applyAlignment="1">
      <alignment horizontal="left" vertical="center"/>
    </xf>
    <xf numFmtId="14" fontId="34" fillId="0" borderId="0" xfId="92" applyNumberFormat="1" applyFont="1" applyBorder="1">
      <alignment vertical="center"/>
    </xf>
    <xf numFmtId="183" fontId="34" fillId="0" borderId="0" xfId="92" applyNumberFormat="1" applyFont="1" applyBorder="1" applyAlignment="1">
      <alignment horizontal="right" vertical="center"/>
    </xf>
    <xf numFmtId="0" fontId="44" fillId="0" borderId="0" xfId="92" applyFont="1" applyBorder="1" applyAlignment="1">
      <alignment horizontal="left" vertical="center"/>
    </xf>
    <xf numFmtId="0" fontId="34" fillId="0" borderId="0" xfId="92" applyFont="1" applyBorder="1">
      <alignment vertical="center"/>
    </xf>
    <xf numFmtId="180" fontId="34" fillId="0" borderId="0" xfId="92" applyNumberFormat="1" applyFont="1" applyBorder="1" applyAlignment="1">
      <alignment horizontal="right" vertical="center"/>
    </xf>
    <xf numFmtId="14" fontId="34" fillId="0" borderId="0" xfId="92" applyNumberFormat="1" applyFont="1">
      <alignment vertical="center"/>
    </xf>
    <xf numFmtId="176" fontId="34" fillId="0" borderId="0" xfId="92" applyNumberFormat="1" applyFont="1" applyBorder="1" applyAlignment="1">
      <alignment vertical="center"/>
    </xf>
    <xf numFmtId="180" fontId="34" fillId="26" borderId="33" xfId="0" applyNumberFormat="1" applyFont="1" applyFill="1" applyBorder="1" applyAlignment="1">
      <alignment horizontal="center"/>
    </xf>
    <xf numFmtId="180" fontId="34" fillId="26" borderId="34" xfId="0" applyNumberFormat="1" applyFont="1" applyFill="1" applyBorder="1" applyAlignment="1">
      <alignment horizontal="center"/>
    </xf>
    <xf numFmtId="180" fontId="34" fillId="26" borderId="35" xfId="0" applyNumberFormat="1" applyFont="1" applyFill="1" applyBorder="1" applyAlignment="1">
      <alignment horizontal="center"/>
    </xf>
    <xf numFmtId="0" fontId="44" fillId="0" borderId="22" xfId="92" applyFont="1" applyBorder="1" applyAlignment="1">
      <alignment horizontal="left" vertical="center"/>
    </xf>
    <xf numFmtId="0" fontId="34" fillId="0" borderId="0" xfId="92" applyFont="1">
      <alignment vertical="center"/>
    </xf>
    <xf numFmtId="14" fontId="34" fillId="29" borderId="0" xfId="92" applyNumberFormat="1" applyFont="1" applyFill="1" applyBorder="1">
      <alignment vertical="center"/>
    </xf>
    <xf numFmtId="183" fontId="34" fillId="29" borderId="0" xfId="92" applyNumberFormat="1" applyFont="1" applyFill="1" applyBorder="1" applyAlignment="1">
      <alignment horizontal="right" vertical="center"/>
    </xf>
    <xf numFmtId="0" fontId="44" fillId="29" borderId="0" xfId="92" applyFont="1" applyFill="1" applyBorder="1" applyAlignment="1">
      <alignment horizontal="left" vertical="center"/>
    </xf>
    <xf numFmtId="0" fontId="34" fillId="0" borderId="31" xfId="92" applyFont="1" applyBorder="1" applyAlignment="1">
      <alignment vertical="center"/>
    </xf>
    <xf numFmtId="0" fontId="33" fillId="25" borderId="17" xfId="92" applyFont="1" applyFill="1" applyBorder="1" applyAlignment="1">
      <alignment horizontal="right" vertical="center"/>
    </xf>
    <xf numFmtId="0" fontId="33" fillId="29" borderId="17" xfId="0" applyFont="1" applyFill="1" applyBorder="1" applyAlignment="1">
      <alignment horizontal="right" vertical="center"/>
    </xf>
    <xf numFmtId="0" fontId="33" fillId="38" borderId="17" xfId="0" applyFont="1" applyFill="1" applyBorder="1" applyAlignment="1">
      <alignment horizontal="center" vertical="center"/>
    </xf>
    <xf numFmtId="0" fontId="34" fillId="0" borderId="0" xfId="92" applyFont="1" applyAlignment="1">
      <alignment vertical="center"/>
    </xf>
    <xf numFmtId="0" fontId="34" fillId="0" borderId="22" xfId="92" applyFont="1" applyBorder="1">
      <alignment vertical="center"/>
    </xf>
    <xf numFmtId="0" fontId="33" fillId="25" borderId="17" xfId="92" quotePrefix="1" applyFont="1" applyFill="1" applyBorder="1" applyAlignment="1">
      <alignment horizontal="right" vertical="center" wrapText="1"/>
    </xf>
    <xf numFmtId="179" fontId="33" fillId="26" borderId="18" xfId="0" applyNumberFormat="1" applyFont="1" applyFill="1" applyBorder="1" applyAlignment="1">
      <alignment horizontal="center" vertical="center" wrapText="1"/>
    </xf>
    <xf numFmtId="181" fontId="33" fillId="26" borderId="19" xfId="0" applyNumberFormat="1" applyFont="1" applyFill="1" applyBorder="1" applyAlignment="1">
      <alignment horizontal="center" vertical="center" wrapText="1"/>
    </xf>
    <xf numFmtId="182" fontId="33" fillId="26" borderId="19" xfId="0" applyNumberFormat="1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horizontal="center" vertical="center" wrapText="1"/>
    </xf>
    <xf numFmtId="0" fontId="33" fillId="25" borderId="26" xfId="92" applyFont="1" applyFill="1" applyBorder="1" applyAlignment="1">
      <alignment horizontal="center" vertical="center" wrapText="1"/>
    </xf>
    <xf numFmtId="0" fontId="33" fillId="41" borderId="25" xfId="92" applyFont="1" applyFill="1" applyBorder="1" applyAlignment="1">
      <alignment horizontal="center" vertical="center" wrapText="1"/>
    </xf>
    <xf numFmtId="0" fontId="33" fillId="28" borderId="25" xfId="92" applyFont="1" applyFill="1" applyBorder="1" applyAlignment="1">
      <alignment horizontal="center" vertical="center" wrapText="1"/>
    </xf>
    <xf numFmtId="0" fontId="33" fillId="43" borderId="25" xfId="92" applyFont="1" applyFill="1" applyBorder="1" applyAlignment="1">
      <alignment horizontal="center" vertical="center" wrapText="1"/>
    </xf>
    <xf numFmtId="176" fontId="33" fillId="27" borderId="25" xfId="92" applyNumberFormat="1" applyFont="1" applyFill="1" applyBorder="1" applyAlignment="1">
      <alignment horizontal="center" vertical="center" wrapText="1"/>
    </xf>
    <xf numFmtId="0" fontId="34" fillId="0" borderId="0" xfId="0" applyFont="1" applyProtection="1">
      <protection locked="0"/>
    </xf>
    <xf numFmtId="0" fontId="34" fillId="29" borderId="0" xfId="0" applyFont="1" applyFill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34" fillId="39" borderId="0" xfId="0" applyFont="1" applyFill="1" applyProtection="1">
      <protection locked="0"/>
    </xf>
    <xf numFmtId="0" fontId="34" fillId="0" borderId="17" xfId="0" applyFont="1" applyBorder="1" applyProtection="1">
      <protection locked="0"/>
    </xf>
    <xf numFmtId="0" fontId="33" fillId="25" borderId="17" xfId="0" applyFont="1" applyFill="1" applyBorder="1" applyAlignment="1" applyProtection="1">
      <alignment horizontal="right"/>
    </xf>
    <xf numFmtId="0" fontId="34" fillId="0" borderId="0" xfId="0" applyFont="1" applyAlignment="1" applyProtection="1">
      <alignment horizontal="right"/>
    </xf>
    <xf numFmtId="0" fontId="34" fillId="0" borderId="0" xfId="0" applyFont="1" applyAlignment="1" applyProtection="1">
      <alignment shrinkToFit="1"/>
    </xf>
    <xf numFmtId="0" fontId="35" fillId="0" borderId="0" xfId="0" applyFont="1" applyProtection="1"/>
    <xf numFmtId="0" fontId="35" fillId="0" borderId="0" xfId="0" applyFont="1" applyAlignment="1" applyProtection="1">
      <alignment horizontal="right"/>
    </xf>
    <xf numFmtId="0" fontId="33" fillId="35" borderId="17" xfId="0" applyFont="1" applyFill="1" applyBorder="1" applyAlignment="1" applyProtection="1">
      <alignment horizontal="center" vertical="center"/>
    </xf>
    <xf numFmtId="0" fontId="33" fillId="33" borderId="13" xfId="97" applyFont="1" applyFill="1" applyBorder="1" applyAlignment="1">
      <alignment horizontal="center" vertical="center" wrapText="1"/>
    </xf>
    <xf numFmtId="0" fontId="33" fillId="33" borderId="14" xfId="97" applyFont="1" applyFill="1" applyBorder="1" applyAlignment="1">
      <alignment horizontal="center" vertical="center" wrapText="1"/>
    </xf>
    <xf numFmtId="0" fontId="33" fillId="33" borderId="12" xfId="97" applyFont="1" applyFill="1" applyBorder="1" applyAlignment="1">
      <alignment horizontal="center" vertical="center" wrapText="1"/>
    </xf>
    <xf numFmtId="0" fontId="33" fillId="30" borderId="13" xfId="97" applyFont="1" applyFill="1" applyBorder="1" applyAlignment="1">
      <alignment horizontal="center" vertical="center" wrapText="1"/>
    </xf>
    <xf numFmtId="0" fontId="33" fillId="30" borderId="14" xfId="97" applyFont="1" applyFill="1" applyBorder="1" applyAlignment="1">
      <alignment horizontal="center" vertical="center" wrapText="1"/>
    </xf>
    <xf numFmtId="0" fontId="33" fillId="30" borderId="15" xfId="97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5" borderId="13" xfId="97" applyFont="1" applyFill="1" applyBorder="1" applyAlignment="1">
      <alignment horizontal="center" vertical="center" wrapText="1"/>
    </xf>
    <xf numFmtId="0" fontId="33" fillId="25" borderId="14" xfId="97" applyFont="1" applyFill="1" applyBorder="1" applyAlignment="1">
      <alignment horizontal="center" vertical="center" wrapText="1"/>
    </xf>
    <xf numFmtId="0" fontId="33" fillId="25" borderId="12" xfId="97" applyFont="1" applyFill="1" applyBorder="1" applyAlignment="1">
      <alignment horizontal="center" vertical="center" wrapText="1"/>
    </xf>
    <xf numFmtId="0" fontId="33" fillId="42" borderId="13" xfId="97" applyFont="1" applyFill="1" applyBorder="1" applyAlignment="1">
      <alignment horizontal="center" vertical="center" wrapText="1"/>
    </xf>
    <xf numFmtId="0" fontId="33" fillId="42" borderId="14" xfId="97" applyFont="1" applyFill="1" applyBorder="1" applyAlignment="1">
      <alignment horizontal="center" vertical="center" wrapText="1"/>
    </xf>
    <xf numFmtId="0" fontId="33" fillId="42" borderId="12" xfId="97" applyFont="1" applyFill="1" applyBorder="1" applyAlignment="1">
      <alignment horizontal="center" vertical="center" wrapText="1"/>
    </xf>
    <xf numFmtId="0" fontId="33" fillId="28" borderId="13" xfId="97" applyFont="1" applyFill="1" applyBorder="1" applyAlignment="1">
      <alignment horizontal="center" vertical="center" wrapText="1"/>
    </xf>
    <xf numFmtId="0" fontId="33" fillId="28" borderId="14" xfId="97" applyFont="1" applyFill="1" applyBorder="1" applyAlignment="1">
      <alignment horizontal="center" vertical="center" wrapText="1"/>
    </xf>
    <xf numFmtId="0" fontId="33" fillId="28" borderId="12" xfId="97" applyFont="1" applyFill="1" applyBorder="1" applyAlignment="1">
      <alignment horizontal="center" vertical="center" wrapText="1"/>
    </xf>
    <xf numFmtId="0" fontId="33" fillId="26" borderId="26" xfId="97" applyFont="1" applyFill="1" applyBorder="1" applyAlignment="1">
      <alignment horizontal="center" vertical="center" wrapText="1"/>
    </xf>
    <xf numFmtId="0" fontId="33" fillId="26" borderId="32" xfId="97" applyFont="1" applyFill="1" applyBorder="1" applyAlignment="1">
      <alignment horizontal="center" vertical="center" wrapText="1"/>
    </xf>
    <xf numFmtId="0" fontId="33" fillId="26" borderId="23" xfId="97" applyFont="1" applyFill="1" applyBorder="1" applyAlignment="1">
      <alignment horizontal="center" vertical="center" wrapText="1"/>
    </xf>
    <xf numFmtId="0" fontId="33" fillId="36" borderId="13" xfId="97" applyFont="1" applyFill="1" applyBorder="1" applyAlignment="1">
      <alignment horizontal="center" vertical="center" wrapText="1"/>
    </xf>
    <xf numFmtId="0" fontId="33" fillId="36" borderId="14" xfId="97" applyFont="1" applyFill="1" applyBorder="1" applyAlignment="1">
      <alignment horizontal="center" vertical="center" wrapText="1"/>
    </xf>
    <xf numFmtId="0" fontId="33" fillId="36" borderId="12" xfId="97" applyFont="1" applyFill="1" applyBorder="1" applyAlignment="1">
      <alignment horizontal="center" vertical="center" wrapText="1"/>
    </xf>
    <xf numFmtId="0" fontId="33" fillId="37" borderId="28" xfId="97" applyFont="1" applyFill="1" applyBorder="1" applyAlignment="1">
      <alignment horizontal="center" vertical="center" wrapText="1"/>
    </xf>
    <xf numFmtId="0" fontId="33" fillId="37" borderId="30" xfId="97" applyFont="1" applyFill="1" applyBorder="1" applyAlignment="1">
      <alignment horizontal="center" vertical="center" wrapText="1"/>
    </xf>
    <xf numFmtId="0" fontId="33" fillId="28" borderId="13" xfId="92" applyFont="1" applyFill="1" applyBorder="1" applyAlignment="1">
      <alignment horizontal="center" vertical="center" wrapText="1"/>
    </xf>
    <xf numFmtId="0" fontId="33" fillId="28" borderId="14" xfId="92" applyFont="1" applyFill="1" applyBorder="1" applyAlignment="1">
      <alignment horizontal="center" vertical="center" wrapText="1"/>
    </xf>
    <xf numFmtId="0" fontId="33" fillId="25" borderId="13" xfId="92" applyFont="1" applyFill="1" applyBorder="1" applyAlignment="1">
      <alignment horizontal="center" vertical="center" wrapText="1"/>
    </xf>
    <xf numFmtId="0" fontId="33" fillId="25" borderId="14" xfId="92" applyFont="1" applyFill="1" applyBorder="1" applyAlignment="1">
      <alignment horizontal="center" vertical="center" wrapText="1"/>
    </xf>
    <xf numFmtId="0" fontId="33" fillId="40" borderId="25" xfId="92" applyFont="1" applyFill="1" applyBorder="1" applyAlignment="1">
      <alignment horizontal="center" vertical="center" wrapText="1"/>
    </xf>
    <xf numFmtId="0" fontId="33" fillId="40" borderId="16" xfId="92" applyFont="1" applyFill="1" applyBorder="1" applyAlignment="1">
      <alignment horizontal="center" vertical="center" wrapText="1"/>
    </xf>
    <xf numFmtId="0" fontId="33" fillId="2" borderId="13" xfId="92" applyFont="1" applyFill="1" applyBorder="1" applyAlignment="1">
      <alignment horizontal="center" vertical="center" wrapText="1"/>
    </xf>
    <xf numFmtId="0" fontId="33" fillId="2" borderId="14" xfId="92" applyFont="1" applyFill="1" applyBorder="1" applyAlignment="1">
      <alignment horizontal="center" vertical="center" wrapText="1"/>
    </xf>
    <xf numFmtId="0" fontId="33" fillId="33" borderId="13" xfId="92" applyFont="1" applyFill="1" applyBorder="1" applyAlignment="1">
      <alignment horizontal="center" vertical="center" wrapText="1"/>
    </xf>
    <xf numFmtId="0" fontId="33" fillId="33" borderId="14" xfId="92" applyFont="1" applyFill="1" applyBorder="1" applyAlignment="1">
      <alignment horizontal="center" vertical="center" wrapText="1"/>
    </xf>
    <xf numFmtId="0" fontId="33" fillId="33" borderId="12" xfId="92" applyFont="1" applyFill="1" applyBorder="1" applyAlignment="1">
      <alignment horizontal="center" vertical="center" wrapText="1"/>
    </xf>
    <xf numFmtId="0" fontId="33" fillId="26" borderId="13" xfId="92" applyFont="1" applyFill="1" applyBorder="1" applyAlignment="1">
      <alignment horizontal="center" vertical="center" wrapText="1"/>
    </xf>
    <xf numFmtId="0" fontId="33" fillId="26" borderId="14" xfId="92" applyFont="1" applyFill="1" applyBorder="1" applyAlignment="1">
      <alignment horizontal="center" vertical="center" wrapText="1"/>
    </xf>
    <xf numFmtId="0" fontId="33" fillId="26" borderId="12" xfId="92" applyFont="1" applyFill="1" applyBorder="1" applyAlignment="1">
      <alignment horizontal="center" vertical="center" wrapText="1"/>
    </xf>
  </cellXfs>
  <cellStyles count="98">
    <cellStyle name="_2008 Plan W6-20081009" xfId="4" xr:uid="{00000000-0005-0000-0000-000000000000}"/>
    <cellStyle name="_ET_STYLE_NoName_00_ 2" xfId="5" xr:uid="{00000000-0005-0000-0000-000001000000}"/>
    <cellStyle name="20% - 强调文字颜色 1 2" xfId="6" xr:uid="{00000000-0005-0000-0000-000002000000}"/>
    <cellStyle name="20% - 强调文字颜色 2 2" xfId="7" xr:uid="{00000000-0005-0000-0000-000003000000}"/>
    <cellStyle name="20% - 强调文字颜色 3 2" xfId="8" xr:uid="{00000000-0005-0000-0000-000004000000}"/>
    <cellStyle name="20% - 强调文字颜色 4 2" xfId="9" xr:uid="{00000000-0005-0000-0000-000005000000}"/>
    <cellStyle name="20% - 强调文字颜色 5 2" xfId="10" xr:uid="{00000000-0005-0000-0000-000006000000}"/>
    <cellStyle name="20% - 强调文字颜色 6 2" xfId="11" xr:uid="{00000000-0005-0000-0000-000007000000}"/>
    <cellStyle name="3232" xfId="12" xr:uid="{00000000-0005-0000-0000-000008000000}"/>
    <cellStyle name="40% - 强调文字颜色 1 2" xfId="13" xr:uid="{00000000-0005-0000-0000-000009000000}"/>
    <cellStyle name="40% - 强调文字颜色 2 2" xfId="14" xr:uid="{00000000-0005-0000-0000-00000A000000}"/>
    <cellStyle name="40% - 强调文字颜色 3 2" xfId="15" xr:uid="{00000000-0005-0000-0000-00000B000000}"/>
    <cellStyle name="40% - 强调文字颜色 4 2" xfId="16" xr:uid="{00000000-0005-0000-0000-00000C000000}"/>
    <cellStyle name="40% - 强调文字颜色 5 2" xfId="17" xr:uid="{00000000-0005-0000-0000-00000D000000}"/>
    <cellStyle name="40% - 强调文字颜色 6 2" xfId="18" xr:uid="{00000000-0005-0000-0000-00000E000000}"/>
    <cellStyle name="60% - 强调文字颜色 1 2" xfId="19" xr:uid="{00000000-0005-0000-0000-00000F000000}"/>
    <cellStyle name="60% - 强调文字颜色 2 2" xfId="20" xr:uid="{00000000-0005-0000-0000-000010000000}"/>
    <cellStyle name="60% - 强调文字颜色 3 2" xfId="21" xr:uid="{00000000-0005-0000-0000-000011000000}"/>
    <cellStyle name="60% - 强调文字颜色 4 2" xfId="22" xr:uid="{00000000-0005-0000-0000-000012000000}"/>
    <cellStyle name="60% - 强调文字颜色 5 2" xfId="23" xr:uid="{00000000-0005-0000-0000-000013000000}"/>
    <cellStyle name="60% - 强调文字颜色 6 2" xfId="24" xr:uid="{00000000-0005-0000-0000-000014000000}"/>
    <cellStyle name="Normal_Financial Highlights" xfId="25" xr:uid="{00000000-0005-0000-0000-000015000000}"/>
    <cellStyle name="标题 1 2" xfId="26" xr:uid="{00000000-0005-0000-0000-000016000000}"/>
    <cellStyle name="标题 2 2" xfId="27" xr:uid="{00000000-0005-0000-0000-000017000000}"/>
    <cellStyle name="标题 3 2" xfId="28" xr:uid="{00000000-0005-0000-0000-000018000000}"/>
    <cellStyle name="标题 4 2" xfId="29" xr:uid="{00000000-0005-0000-0000-000019000000}"/>
    <cellStyle name="标题 5" xfId="30" xr:uid="{00000000-0005-0000-0000-00001A000000}"/>
    <cellStyle name="標準_BD3-200802Management Report-W3400 20080224" xfId="31" xr:uid="{00000000-0005-0000-0000-00001B000000}"/>
    <cellStyle name="差 2" xfId="32" xr:uid="{00000000-0005-0000-0000-00001C000000}"/>
    <cellStyle name="常规" xfId="0" builtinId="0"/>
    <cellStyle name="常规 10" xfId="33" xr:uid="{00000000-0005-0000-0000-00001E000000}"/>
    <cellStyle name="常规 10 2" xfId="34" xr:uid="{00000000-0005-0000-0000-00001F000000}"/>
    <cellStyle name="常规 10 2 2" xfId="88" xr:uid="{00000000-0005-0000-0000-000020000000}"/>
    <cellStyle name="常规 10 2 2 3" xfId="92" xr:uid="{00000000-0005-0000-0000-000021000000}"/>
    <cellStyle name="常规 10 2 2 3 2" xfId="97" xr:uid="{00000000-0005-0000-0000-000022000000}"/>
    <cellStyle name="常规 10 2 5" xfId="91" xr:uid="{00000000-0005-0000-0000-000023000000}"/>
    <cellStyle name="常规 11" xfId="35" xr:uid="{00000000-0005-0000-0000-000024000000}"/>
    <cellStyle name="常规 12" xfId="36" xr:uid="{00000000-0005-0000-0000-000025000000}"/>
    <cellStyle name="常规 12 3 2 2" xfId="95" xr:uid="{00000000-0005-0000-0000-000026000000}"/>
    <cellStyle name="常规 13" xfId="37" xr:uid="{00000000-0005-0000-0000-000027000000}"/>
    <cellStyle name="常规 14" xfId="38" xr:uid="{00000000-0005-0000-0000-000028000000}"/>
    <cellStyle name="常规 15" xfId="39" xr:uid="{00000000-0005-0000-0000-000029000000}"/>
    <cellStyle name="常规 15 3" xfId="89" xr:uid="{00000000-0005-0000-0000-00002A000000}"/>
    <cellStyle name="常规 16" xfId="40" xr:uid="{00000000-0005-0000-0000-00002B000000}"/>
    <cellStyle name="常规 17" xfId="41" xr:uid="{00000000-0005-0000-0000-00002C000000}"/>
    <cellStyle name="常规 18" xfId="42" xr:uid="{00000000-0005-0000-0000-00002D000000}"/>
    <cellStyle name="常规 19" xfId="43" xr:uid="{00000000-0005-0000-0000-00002E000000}"/>
    <cellStyle name="常规 2" xfId="2" xr:uid="{00000000-0005-0000-0000-00002F000000}"/>
    <cellStyle name="常规 2 2" xfId="44" xr:uid="{00000000-0005-0000-0000-000030000000}"/>
    <cellStyle name="常规 2 2 5" xfId="94" xr:uid="{00000000-0005-0000-0000-000031000000}"/>
    <cellStyle name="常规 2 3" xfId="3" xr:uid="{00000000-0005-0000-0000-000032000000}"/>
    <cellStyle name="常规 2 4" xfId="45" xr:uid="{00000000-0005-0000-0000-000033000000}"/>
    <cellStyle name="常规 2 4 2" xfId="46" xr:uid="{00000000-0005-0000-0000-000034000000}"/>
    <cellStyle name="常规 20" xfId="47" xr:uid="{00000000-0005-0000-0000-000035000000}"/>
    <cellStyle name="常规 21" xfId="48" xr:uid="{00000000-0005-0000-0000-000036000000}"/>
    <cellStyle name="常规 22" xfId="90" xr:uid="{00000000-0005-0000-0000-000037000000}"/>
    <cellStyle name="常规 23" xfId="93" xr:uid="{00000000-0005-0000-0000-000038000000}"/>
    <cellStyle name="常规 3" xfId="1" xr:uid="{00000000-0005-0000-0000-000039000000}"/>
    <cellStyle name="常规 3 2 2" xfId="96" xr:uid="{00000000-0005-0000-0000-00003A000000}"/>
    <cellStyle name="常规 4" xfId="49" xr:uid="{00000000-0005-0000-0000-00003B000000}"/>
    <cellStyle name="常规 4 2" xfId="50" xr:uid="{00000000-0005-0000-0000-00003C000000}"/>
    <cellStyle name="常规 4 3" xfId="51" xr:uid="{00000000-0005-0000-0000-00003D000000}"/>
    <cellStyle name="常规 4 4" xfId="52" xr:uid="{00000000-0005-0000-0000-00003E000000}"/>
    <cellStyle name="常规 5" xfId="53" xr:uid="{00000000-0005-0000-0000-00003F000000}"/>
    <cellStyle name="常规 5 2" xfId="54" xr:uid="{00000000-0005-0000-0000-000040000000}"/>
    <cellStyle name="常规 5 3" xfId="55" xr:uid="{00000000-0005-0000-0000-000041000000}"/>
    <cellStyle name="常规 6" xfId="56" xr:uid="{00000000-0005-0000-0000-000042000000}"/>
    <cellStyle name="常规 6 2" xfId="57" xr:uid="{00000000-0005-0000-0000-000043000000}"/>
    <cellStyle name="常规 6 3" xfId="58" xr:uid="{00000000-0005-0000-0000-000044000000}"/>
    <cellStyle name="常规 7" xfId="59" xr:uid="{00000000-0005-0000-0000-000045000000}"/>
    <cellStyle name="常规 7 2" xfId="60" xr:uid="{00000000-0005-0000-0000-000046000000}"/>
    <cellStyle name="常规 7 3" xfId="61" xr:uid="{00000000-0005-0000-0000-000047000000}"/>
    <cellStyle name="常规 8" xfId="62" xr:uid="{00000000-0005-0000-0000-000048000000}"/>
    <cellStyle name="常规 9" xfId="63" xr:uid="{00000000-0005-0000-0000-000049000000}"/>
    <cellStyle name="好 2" xfId="64" xr:uid="{00000000-0005-0000-0000-00004A000000}"/>
    <cellStyle name="桁区切り_SAP-Commision-070201 (2)" xfId="65" xr:uid="{00000000-0005-0000-0000-00004B000000}"/>
    <cellStyle name="汇总 2" xfId="66" xr:uid="{00000000-0005-0000-0000-00004C000000}"/>
    <cellStyle name="计算 2" xfId="67" xr:uid="{00000000-0005-0000-0000-00004D000000}"/>
    <cellStyle name="检查单元格 2" xfId="68" xr:uid="{00000000-0005-0000-0000-00004E000000}"/>
    <cellStyle name="解释性文本 2" xfId="69" xr:uid="{00000000-0005-0000-0000-00004F000000}"/>
    <cellStyle name="警告文本 2" xfId="70" xr:uid="{00000000-0005-0000-0000-000050000000}"/>
    <cellStyle name="链接单元格 2" xfId="71" xr:uid="{00000000-0005-0000-0000-000051000000}"/>
    <cellStyle name="普通" xfId="72" xr:uid="{00000000-0005-0000-0000-000052000000}"/>
    <cellStyle name="千位分隔 2" xfId="73" xr:uid="{00000000-0005-0000-0000-000053000000}"/>
    <cellStyle name="强调文字颜色 1 2" xfId="74" xr:uid="{00000000-0005-0000-0000-000054000000}"/>
    <cellStyle name="强调文字颜色 2 2" xfId="75" xr:uid="{00000000-0005-0000-0000-000055000000}"/>
    <cellStyle name="强调文字颜色 3 2" xfId="76" xr:uid="{00000000-0005-0000-0000-000056000000}"/>
    <cellStyle name="强调文字颜色 4 2" xfId="77" xr:uid="{00000000-0005-0000-0000-000057000000}"/>
    <cellStyle name="强调文字颜色 5 2" xfId="78" xr:uid="{00000000-0005-0000-0000-000058000000}"/>
    <cellStyle name="强调文字颜色 6 2" xfId="79" xr:uid="{00000000-0005-0000-0000-000059000000}"/>
    <cellStyle name="适中 2" xfId="80" xr:uid="{00000000-0005-0000-0000-00005A000000}"/>
    <cellStyle name="输出 2" xfId="81" xr:uid="{00000000-0005-0000-0000-00005B000000}"/>
    <cellStyle name="输入 2" xfId="82" xr:uid="{00000000-0005-0000-0000-00005C000000}"/>
    <cellStyle name="樣式 1" xfId="83" xr:uid="{00000000-0005-0000-0000-00005D000000}"/>
    <cellStyle name="一般 2" xfId="84" xr:uid="{00000000-0005-0000-0000-00005E000000}"/>
    <cellStyle name="一般 3" xfId="85" xr:uid="{00000000-0005-0000-0000-00005F000000}"/>
    <cellStyle name="一般 4" xfId="86" xr:uid="{00000000-0005-0000-0000-000060000000}"/>
    <cellStyle name="注释 2" xfId="87" xr:uid="{00000000-0005-0000-0000-000061000000}"/>
  </cellStyles>
  <dxfs count="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22860</xdr:rowOff>
        </xdr:from>
        <xdr:to>
          <xdr:col>3</xdr:col>
          <xdr:colOff>335280</xdr:colOff>
          <xdr:row>3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华文琥珀"/>
                  <a:ea typeface="华文琥珀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10"/>
  <sheetViews>
    <sheetView tabSelected="1" workbookViewId="0">
      <selection activeCell="D16" sqref="D16"/>
    </sheetView>
  </sheetViews>
  <sheetFormatPr defaultColWidth="9" defaultRowHeight="13.2" x14ac:dyDescent="0.35"/>
  <cols>
    <col min="1" max="2" width="2.77734375" style="160" customWidth="1"/>
    <col min="3" max="3" width="14.77734375" style="160" customWidth="1"/>
    <col min="4" max="4" width="22.44140625" style="160" customWidth="1"/>
    <col min="5" max="5" width="15.88671875" style="160" customWidth="1"/>
    <col min="6" max="6" width="11" style="160" customWidth="1"/>
    <col min="7" max="7" width="16.44140625" style="160" customWidth="1"/>
    <col min="8" max="8" width="9" style="160"/>
    <col min="9" max="11" width="9" style="160" customWidth="1"/>
    <col min="12" max="16384" width="9" style="160"/>
  </cols>
  <sheetData>
    <row r="1" spans="1:8" x14ac:dyDescent="0.35">
      <c r="C1" s="166"/>
      <c r="D1" s="167"/>
      <c r="E1" s="168" t="s">
        <v>16</v>
      </c>
      <c r="F1" s="169" t="s">
        <v>17</v>
      </c>
      <c r="G1" s="169"/>
      <c r="H1" s="168"/>
    </row>
    <row r="2" spans="1:8" x14ac:dyDescent="0.35">
      <c r="C2" s="166"/>
      <c r="D2" s="167"/>
      <c r="E2" s="168"/>
      <c r="F2" s="169"/>
      <c r="G2" s="169"/>
      <c r="H2" s="168"/>
    </row>
    <row r="3" spans="1:8" x14ac:dyDescent="0.35">
      <c r="C3" s="166"/>
      <c r="D3" s="167"/>
      <c r="E3" s="168"/>
      <c r="F3" s="169"/>
      <c r="G3" s="169"/>
      <c r="H3" s="168"/>
    </row>
    <row r="5" spans="1:8" x14ac:dyDescent="0.35">
      <c r="B5" s="161">
        <f>ROW(C5)-ROW($C$5)</f>
        <v>0</v>
      </c>
      <c r="C5" s="165" t="s">
        <v>602</v>
      </c>
      <c r="D5" s="164" t="s">
        <v>603</v>
      </c>
    </row>
    <row r="6" spans="1:8" x14ac:dyDescent="0.35">
      <c r="A6" s="162"/>
      <c r="B6" s="163">
        <f t="shared" ref="B6:B7" si="0">ROW(C6)-ROW($C$5)</f>
        <v>1</v>
      </c>
      <c r="C6" s="165" t="s">
        <v>604</v>
      </c>
      <c r="D6" s="164" t="s">
        <v>605</v>
      </c>
    </row>
    <row r="7" spans="1:8" x14ac:dyDescent="0.35">
      <c r="B7" s="161">
        <f t="shared" si="0"/>
        <v>2</v>
      </c>
      <c r="C7" s="165" t="s">
        <v>606</v>
      </c>
      <c r="D7" s="164" t="s">
        <v>607</v>
      </c>
    </row>
    <row r="8" spans="1:8" x14ac:dyDescent="0.35">
      <c r="B8" s="163">
        <f>ROW(C8)-ROW($C$5)</f>
        <v>3</v>
      </c>
      <c r="C8" s="170" t="s">
        <v>608</v>
      </c>
      <c r="D8" s="170"/>
    </row>
    <row r="9" spans="1:8" x14ac:dyDescent="0.35">
      <c r="B9" s="163">
        <f t="shared" ref="B9:B10" si="1">ROW(C9)-ROW($C$5)</f>
        <v>4</v>
      </c>
      <c r="C9" s="165" t="s">
        <v>600</v>
      </c>
      <c r="D9" s="164" t="s">
        <v>609</v>
      </c>
    </row>
    <row r="10" spans="1:8" x14ac:dyDescent="0.35">
      <c r="B10" s="163">
        <f t="shared" si="1"/>
        <v>5</v>
      </c>
      <c r="C10" s="165" t="s">
        <v>610</v>
      </c>
      <c r="D10" s="164" t="s">
        <v>611</v>
      </c>
    </row>
  </sheetData>
  <sheetProtection formatCells="0" formatColumns="0"/>
  <mergeCells count="1">
    <mergeCell ref="C8:D8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ExpDDL_Click">
                <anchor moveWithCells="1" sizeWithCells="1">
                  <from>
                    <xdr:col>2</xdr:col>
                    <xdr:colOff>30480</xdr:colOff>
                    <xdr:row>2</xdr:row>
                    <xdr:rowOff>22860</xdr:rowOff>
                  </from>
                  <to>
                    <xdr:col>3</xdr:col>
                    <xdr:colOff>335280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J3"/>
  <sheetViews>
    <sheetView workbookViewId="0">
      <pane ySplit="3" topLeftCell="A4" activePane="bottomLeft" state="frozen"/>
      <selection activeCell="L22" sqref="L22"/>
      <selection pane="bottomLeft" activeCell="F4" sqref="F4"/>
    </sheetView>
  </sheetViews>
  <sheetFormatPr defaultRowHeight="14.4" x14ac:dyDescent="0.25"/>
  <cols>
    <col min="1" max="1" width="1.33203125" customWidth="1"/>
    <col min="2" max="2" width="14.21875" customWidth="1"/>
    <col min="3" max="3" width="13.6640625" customWidth="1"/>
    <col min="4" max="4" width="31.6640625" customWidth="1"/>
    <col min="5" max="5" width="33.77734375" customWidth="1"/>
    <col min="6" max="6" width="36.21875" customWidth="1"/>
    <col min="7" max="7" width="28.88671875" customWidth="1"/>
    <col min="8" max="8" width="5.88671875" customWidth="1"/>
    <col min="9" max="9" width="6.33203125" style="12" customWidth="1"/>
    <col min="10" max="10" width="16.109375" customWidth="1"/>
  </cols>
  <sheetData>
    <row r="1" spans="1:10" hidden="1" x14ac:dyDescent="0.25">
      <c r="A1" s="58" t="s">
        <v>322</v>
      </c>
      <c r="B1">
        <v>1</v>
      </c>
    </row>
    <row r="2" spans="1:10" hidden="1" x14ac:dyDescent="0.25">
      <c r="A2" s="58" t="s">
        <v>322</v>
      </c>
      <c r="B2">
        <v>2</v>
      </c>
    </row>
    <row r="3" spans="1:10" x14ac:dyDescent="0.25">
      <c r="A3" s="58" t="s">
        <v>322</v>
      </c>
      <c r="B3" s="1" t="s">
        <v>28</v>
      </c>
      <c r="C3" s="1" t="s">
        <v>10</v>
      </c>
      <c r="D3" s="1" t="s">
        <v>22</v>
      </c>
      <c r="E3" s="1" t="s">
        <v>11</v>
      </c>
      <c r="F3" s="1" t="s">
        <v>9</v>
      </c>
      <c r="G3" s="1" t="s">
        <v>26</v>
      </c>
      <c r="H3" s="1" t="s">
        <v>21</v>
      </c>
      <c r="I3" s="1" t="s">
        <v>27</v>
      </c>
      <c r="J3" s="1" t="s">
        <v>12</v>
      </c>
    </row>
  </sheetData>
  <autoFilter ref="F3:J3" xr:uid="{00000000-0009-0000-0000-000001000000}"/>
  <dataConsolidate/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MN356"/>
  <sheetViews>
    <sheetView workbookViewId="0">
      <pane ySplit="9" topLeftCell="A19" activePane="bottomLeft" state="frozen"/>
      <selection pane="bottomLeft" activeCell="C26" sqref="C26"/>
    </sheetView>
  </sheetViews>
  <sheetFormatPr defaultRowHeight="14.4" x14ac:dyDescent="0.25"/>
  <sheetData>
    <row r="2" spans="1:352" s="3" customFormat="1" ht="26.4" x14ac:dyDescent="0.35">
      <c r="A2" s="65" t="s">
        <v>322</v>
      </c>
      <c r="B2" s="65" t="s">
        <v>322</v>
      </c>
      <c r="C2" s="41" t="s">
        <v>515</v>
      </c>
      <c r="D2" s="83" t="s">
        <v>516</v>
      </c>
      <c r="E2" s="41" t="s">
        <v>3</v>
      </c>
      <c r="F2" s="41" t="s">
        <v>517</v>
      </c>
      <c r="G2" s="41" t="s">
        <v>518</v>
      </c>
      <c r="H2" s="83" t="s">
        <v>519</v>
      </c>
      <c r="I2" s="41" t="s">
        <v>520</v>
      </c>
      <c r="J2" s="41" t="s">
        <v>521</v>
      </c>
      <c r="K2" s="41" t="s">
        <v>522</v>
      </c>
      <c r="L2" s="84" t="s">
        <v>523</v>
      </c>
      <c r="M2" s="84" t="s">
        <v>524</v>
      </c>
      <c r="N2" s="84" t="s">
        <v>525</v>
      </c>
      <c r="O2" s="84" t="s">
        <v>526</v>
      </c>
      <c r="P2" s="85" t="s">
        <v>527</v>
      </c>
      <c r="Q2" s="86" t="s">
        <v>528</v>
      </c>
      <c r="R2" s="87" t="s">
        <v>529</v>
      </c>
      <c r="S2" s="87" t="s">
        <v>530</v>
      </c>
      <c r="T2" s="87" t="s">
        <v>531</v>
      </c>
      <c r="U2" s="87" t="s">
        <v>532</v>
      </c>
      <c r="V2" s="87" t="s">
        <v>533</v>
      </c>
      <c r="W2" s="87" t="s">
        <v>534</v>
      </c>
      <c r="X2" s="87" t="s">
        <v>535</v>
      </c>
      <c r="Y2" s="87" t="s">
        <v>536</v>
      </c>
      <c r="Z2" s="39" t="s">
        <v>537</v>
      </c>
      <c r="AA2" s="39" t="s">
        <v>538</v>
      </c>
      <c r="AB2" s="39" t="s">
        <v>539</v>
      </c>
      <c r="AC2" s="39" t="s">
        <v>540</v>
      </c>
      <c r="AD2" s="39" t="s">
        <v>541</v>
      </c>
      <c r="AE2" s="39" t="s">
        <v>542</v>
      </c>
      <c r="AF2" s="39" t="s">
        <v>543</v>
      </c>
      <c r="AG2" s="88" t="s">
        <v>376</v>
      </c>
      <c r="AH2" s="89" t="s">
        <v>544</v>
      </c>
      <c r="AI2" s="89" t="s">
        <v>545</v>
      </c>
      <c r="AJ2" s="89" t="s">
        <v>377</v>
      </c>
      <c r="AK2" s="89" t="s">
        <v>546</v>
      </c>
      <c r="AL2" s="89" t="s">
        <v>547</v>
      </c>
      <c r="AM2" s="87" t="s">
        <v>370</v>
      </c>
      <c r="AN2" s="41" t="s">
        <v>548</v>
      </c>
      <c r="AO2" s="41" t="s">
        <v>549</v>
      </c>
      <c r="AP2" s="61" t="s">
        <v>550</v>
      </c>
      <c r="AQ2" s="62" t="s">
        <v>551</v>
      </c>
      <c r="AR2" s="62" t="s">
        <v>552</v>
      </c>
      <c r="AS2" s="62" t="s">
        <v>553</v>
      </c>
      <c r="AT2" s="63" t="s">
        <v>554</v>
      </c>
      <c r="AU2" s="64" t="s">
        <v>555</v>
      </c>
      <c r="AV2" s="87" t="s">
        <v>556</v>
      </c>
      <c r="AW2" s="87" t="s">
        <v>557</v>
      </c>
      <c r="AX2" s="83" t="s">
        <v>558</v>
      </c>
      <c r="AY2" s="41" t="s">
        <v>559</v>
      </c>
      <c r="AZ2" s="90" t="s">
        <v>560</v>
      </c>
      <c r="BA2" s="91" t="s">
        <v>561</v>
      </c>
      <c r="BB2" s="61" t="s">
        <v>562</v>
      </c>
      <c r="BC2" s="61" t="s">
        <v>563</v>
      </c>
      <c r="BD2" s="62" t="s">
        <v>564</v>
      </c>
      <c r="BE2" s="63" t="s">
        <v>565</v>
      </c>
      <c r="BF2" s="92" t="s">
        <v>566</v>
      </c>
      <c r="BG2" s="15" t="s">
        <v>228</v>
      </c>
      <c r="BH2" s="16" t="s">
        <v>229</v>
      </c>
      <c r="BI2" s="17" t="s">
        <v>31</v>
      </c>
      <c r="BJ2" s="18" t="s">
        <v>32</v>
      </c>
      <c r="BK2" s="15" t="s">
        <v>230</v>
      </c>
      <c r="BL2" s="16" t="s">
        <v>231</v>
      </c>
      <c r="BM2" s="17" t="s">
        <v>33</v>
      </c>
      <c r="BN2" s="18" t="s">
        <v>34</v>
      </c>
      <c r="BO2" s="15" t="s">
        <v>232</v>
      </c>
      <c r="BP2" s="16" t="s">
        <v>233</v>
      </c>
      <c r="BQ2" s="17" t="s">
        <v>35</v>
      </c>
      <c r="BR2" s="18" t="s">
        <v>36</v>
      </c>
      <c r="BS2" s="15" t="s">
        <v>234</v>
      </c>
      <c r="BT2" s="16" t="s">
        <v>235</v>
      </c>
      <c r="BU2" s="17" t="s">
        <v>37</v>
      </c>
      <c r="BV2" s="18" t="s">
        <v>38</v>
      </c>
      <c r="BW2" s="15" t="s">
        <v>236</v>
      </c>
      <c r="BX2" s="16" t="s">
        <v>237</v>
      </c>
      <c r="BY2" s="17" t="s">
        <v>39</v>
      </c>
      <c r="BZ2" s="18" t="s">
        <v>40</v>
      </c>
      <c r="CA2" s="15" t="s">
        <v>238</v>
      </c>
      <c r="CB2" s="16" t="s">
        <v>239</v>
      </c>
      <c r="CC2" s="17" t="s">
        <v>41</v>
      </c>
      <c r="CD2" s="18" t="s">
        <v>42</v>
      </c>
      <c r="CE2" s="15" t="s">
        <v>240</v>
      </c>
      <c r="CF2" s="16" t="s">
        <v>241</v>
      </c>
      <c r="CG2" s="17" t="s">
        <v>43</v>
      </c>
      <c r="CH2" s="18" t="s">
        <v>44</v>
      </c>
      <c r="CI2" s="15" t="s">
        <v>242</v>
      </c>
      <c r="CJ2" s="16" t="s">
        <v>243</v>
      </c>
      <c r="CK2" s="17" t="s">
        <v>45</v>
      </c>
      <c r="CL2" s="18" t="s">
        <v>46</v>
      </c>
      <c r="CM2" s="15" t="s">
        <v>244</v>
      </c>
      <c r="CN2" s="16" t="s">
        <v>245</v>
      </c>
      <c r="CO2" s="17" t="s">
        <v>47</v>
      </c>
      <c r="CP2" s="18" t="s">
        <v>48</v>
      </c>
      <c r="CQ2" s="15" t="s">
        <v>246</v>
      </c>
      <c r="CR2" s="16" t="s">
        <v>247</v>
      </c>
      <c r="CS2" s="17" t="s">
        <v>49</v>
      </c>
      <c r="CT2" s="18" t="s">
        <v>50</v>
      </c>
      <c r="CU2" s="15" t="s">
        <v>248</v>
      </c>
      <c r="CV2" s="16" t="s">
        <v>249</v>
      </c>
      <c r="CW2" s="17" t="s">
        <v>51</v>
      </c>
      <c r="CX2" s="18" t="s">
        <v>52</v>
      </c>
      <c r="CY2" s="15" t="s">
        <v>250</v>
      </c>
      <c r="CZ2" s="16" t="s">
        <v>251</v>
      </c>
      <c r="DA2" s="17" t="s">
        <v>53</v>
      </c>
      <c r="DB2" s="18" t="s">
        <v>54</v>
      </c>
      <c r="DC2" s="15" t="s">
        <v>252</v>
      </c>
      <c r="DD2" s="16" t="s">
        <v>253</v>
      </c>
      <c r="DE2" s="17" t="s">
        <v>55</v>
      </c>
      <c r="DF2" s="18" t="s">
        <v>56</v>
      </c>
      <c r="DG2" s="15" t="s">
        <v>254</v>
      </c>
      <c r="DH2" s="16" t="s">
        <v>255</v>
      </c>
      <c r="DI2" s="17" t="s">
        <v>57</v>
      </c>
      <c r="DJ2" s="18" t="s">
        <v>58</v>
      </c>
      <c r="DK2" s="15" t="s">
        <v>256</v>
      </c>
      <c r="DL2" s="16" t="s">
        <v>257</v>
      </c>
      <c r="DM2" s="17" t="s">
        <v>59</v>
      </c>
      <c r="DN2" s="18" t="s">
        <v>60</v>
      </c>
      <c r="DO2" s="15" t="s">
        <v>258</v>
      </c>
      <c r="DP2" s="16" t="s">
        <v>259</v>
      </c>
      <c r="DQ2" s="17" t="s">
        <v>61</v>
      </c>
      <c r="DR2" s="18" t="s">
        <v>62</v>
      </c>
      <c r="DS2" s="15" t="s">
        <v>260</v>
      </c>
      <c r="DT2" s="16" t="s">
        <v>261</v>
      </c>
      <c r="DU2" s="17" t="s">
        <v>63</v>
      </c>
      <c r="DV2" s="18" t="s">
        <v>64</v>
      </c>
      <c r="DW2" s="15" t="s">
        <v>262</v>
      </c>
      <c r="DX2" s="16" t="s">
        <v>263</v>
      </c>
      <c r="DY2" s="17" t="s">
        <v>65</v>
      </c>
      <c r="DZ2" s="18" t="s">
        <v>66</v>
      </c>
      <c r="EA2" s="15" t="s">
        <v>264</v>
      </c>
      <c r="EB2" s="16" t="s">
        <v>265</v>
      </c>
      <c r="EC2" s="17" t="s">
        <v>67</v>
      </c>
      <c r="ED2" s="18" t="s">
        <v>68</v>
      </c>
      <c r="EE2" s="15" t="s">
        <v>266</v>
      </c>
      <c r="EF2" s="16" t="s">
        <v>267</v>
      </c>
      <c r="EG2" s="17" t="s">
        <v>69</v>
      </c>
      <c r="EH2" s="18" t="s">
        <v>70</v>
      </c>
      <c r="EI2" s="15" t="s">
        <v>268</v>
      </c>
      <c r="EJ2" s="16" t="s">
        <v>269</v>
      </c>
      <c r="EK2" s="17" t="s">
        <v>71</v>
      </c>
      <c r="EL2" s="18" t="s">
        <v>72</v>
      </c>
      <c r="EM2" s="15" t="s">
        <v>270</v>
      </c>
      <c r="EN2" s="16" t="s">
        <v>271</v>
      </c>
      <c r="EO2" s="17" t="s">
        <v>73</v>
      </c>
      <c r="EP2" s="18" t="s">
        <v>74</v>
      </c>
      <c r="EQ2" s="15" t="s">
        <v>272</v>
      </c>
      <c r="ER2" s="16" t="s">
        <v>273</v>
      </c>
      <c r="ES2" s="17" t="s">
        <v>75</v>
      </c>
      <c r="ET2" s="18" t="s">
        <v>76</v>
      </c>
      <c r="EU2" s="15" t="s">
        <v>274</v>
      </c>
      <c r="EV2" s="16" t="s">
        <v>275</v>
      </c>
      <c r="EW2" s="17" t="s">
        <v>77</v>
      </c>
      <c r="EX2" s="18" t="s">
        <v>78</v>
      </c>
      <c r="EY2" s="15" t="s">
        <v>276</v>
      </c>
      <c r="EZ2" s="16" t="s">
        <v>277</v>
      </c>
      <c r="FA2" s="17" t="s">
        <v>79</v>
      </c>
      <c r="FB2" s="18" t="s">
        <v>80</v>
      </c>
      <c r="FC2" s="15" t="s">
        <v>278</v>
      </c>
      <c r="FD2" s="16" t="s">
        <v>279</v>
      </c>
      <c r="FE2" s="17" t="s">
        <v>81</v>
      </c>
      <c r="FF2" s="18" t="s">
        <v>82</v>
      </c>
      <c r="FG2" s="15" t="s">
        <v>280</v>
      </c>
      <c r="FH2" s="16" t="s">
        <v>281</v>
      </c>
      <c r="FI2" s="17" t="s">
        <v>83</v>
      </c>
      <c r="FJ2" s="18" t="s">
        <v>84</v>
      </c>
      <c r="FK2" s="15" t="s">
        <v>282</v>
      </c>
      <c r="FL2" s="16" t="s">
        <v>283</v>
      </c>
      <c r="FM2" s="17" t="s">
        <v>85</v>
      </c>
      <c r="FN2" s="18" t="s">
        <v>86</v>
      </c>
      <c r="FO2" s="15" t="s">
        <v>284</v>
      </c>
      <c r="FP2" s="16" t="s">
        <v>285</v>
      </c>
      <c r="FQ2" s="17" t="s">
        <v>87</v>
      </c>
      <c r="FR2" s="18" t="s">
        <v>88</v>
      </c>
      <c r="FS2" s="15" t="s">
        <v>286</v>
      </c>
      <c r="FT2" s="16" t="s">
        <v>287</v>
      </c>
      <c r="FU2" s="17" t="s">
        <v>89</v>
      </c>
      <c r="FV2" s="18" t="s">
        <v>90</v>
      </c>
      <c r="FW2" s="15" t="s">
        <v>288</v>
      </c>
      <c r="FX2" s="16" t="s">
        <v>289</v>
      </c>
      <c r="FY2" s="17" t="s">
        <v>91</v>
      </c>
      <c r="FZ2" s="18" t="s">
        <v>92</v>
      </c>
      <c r="GA2" s="52" t="s">
        <v>93</v>
      </c>
      <c r="GB2" s="60"/>
      <c r="GC2" s="85" t="s">
        <v>567</v>
      </c>
      <c r="GD2" s="86" t="s">
        <v>528</v>
      </c>
      <c r="GE2" s="87" t="s">
        <v>529</v>
      </c>
      <c r="GF2" s="87" t="s">
        <v>530</v>
      </c>
      <c r="GG2" s="87" t="s">
        <v>531</v>
      </c>
      <c r="GH2" s="87" t="s">
        <v>532</v>
      </c>
      <c r="GI2" s="87" t="s">
        <v>533</v>
      </c>
      <c r="GJ2" s="87" t="s">
        <v>534</v>
      </c>
      <c r="GK2" s="87" t="s">
        <v>535</v>
      </c>
      <c r="GL2" s="87" t="s">
        <v>536</v>
      </c>
      <c r="GM2" s="39" t="s">
        <v>537</v>
      </c>
      <c r="GN2" s="39" t="s">
        <v>538</v>
      </c>
      <c r="GO2" s="39" t="s">
        <v>539</v>
      </c>
      <c r="GP2" s="39" t="s">
        <v>540</v>
      </c>
      <c r="GQ2" s="39" t="s">
        <v>541</v>
      </c>
      <c r="GR2" s="39" t="s">
        <v>542</v>
      </c>
      <c r="GS2" s="39" t="s">
        <v>543</v>
      </c>
      <c r="GT2" s="88" t="s">
        <v>376</v>
      </c>
      <c r="GU2" s="89" t="s">
        <v>544</v>
      </c>
      <c r="GV2" s="89" t="s">
        <v>545</v>
      </c>
      <c r="GW2" s="89" t="s">
        <v>377</v>
      </c>
      <c r="GX2" s="89" t="s">
        <v>546</v>
      </c>
      <c r="GY2" s="89" t="s">
        <v>547</v>
      </c>
      <c r="GZ2" s="87" t="s">
        <v>370</v>
      </c>
      <c r="HA2" s="41" t="s">
        <v>548</v>
      </c>
      <c r="HB2" s="41" t="s">
        <v>549</v>
      </c>
      <c r="HC2" s="61" t="s">
        <v>550</v>
      </c>
      <c r="HD2" s="62" t="s">
        <v>551</v>
      </c>
      <c r="HE2" s="62" t="s">
        <v>552</v>
      </c>
      <c r="HF2" s="62" t="s">
        <v>553</v>
      </c>
      <c r="HG2" s="63" t="s">
        <v>554</v>
      </c>
      <c r="HH2" s="64" t="s">
        <v>555</v>
      </c>
      <c r="HI2" s="87" t="s">
        <v>556</v>
      </c>
      <c r="HJ2" s="87" t="s">
        <v>557</v>
      </c>
      <c r="HK2" s="83" t="s">
        <v>558</v>
      </c>
      <c r="HL2" s="41" t="s">
        <v>559</v>
      </c>
      <c r="HM2" s="90" t="s">
        <v>560</v>
      </c>
      <c r="HN2" s="91" t="s">
        <v>561</v>
      </c>
      <c r="HO2" s="61" t="s">
        <v>562</v>
      </c>
      <c r="HP2" s="61" t="s">
        <v>563</v>
      </c>
      <c r="HQ2" s="62" t="s">
        <v>564</v>
      </c>
      <c r="HR2" s="63" t="s">
        <v>565</v>
      </c>
      <c r="HS2" s="92" t="s">
        <v>566</v>
      </c>
      <c r="HT2" s="15" t="s">
        <v>228</v>
      </c>
      <c r="HU2" s="16" t="s">
        <v>229</v>
      </c>
      <c r="HV2" s="17" t="s">
        <v>31</v>
      </c>
      <c r="HW2" s="18" t="s">
        <v>32</v>
      </c>
      <c r="HX2" s="15" t="s">
        <v>230</v>
      </c>
      <c r="HY2" s="16" t="s">
        <v>231</v>
      </c>
      <c r="HZ2" s="17" t="s">
        <v>33</v>
      </c>
      <c r="IA2" s="18" t="s">
        <v>34</v>
      </c>
      <c r="IB2" s="15" t="s">
        <v>232</v>
      </c>
      <c r="IC2" s="16" t="s">
        <v>233</v>
      </c>
      <c r="ID2" s="17" t="s">
        <v>35</v>
      </c>
      <c r="IE2" s="18" t="s">
        <v>36</v>
      </c>
      <c r="IF2" s="15" t="s">
        <v>234</v>
      </c>
      <c r="IG2" s="16" t="s">
        <v>235</v>
      </c>
      <c r="IH2" s="17" t="s">
        <v>37</v>
      </c>
      <c r="II2" s="18" t="s">
        <v>38</v>
      </c>
      <c r="IJ2" s="15" t="s">
        <v>236</v>
      </c>
      <c r="IK2" s="16" t="s">
        <v>237</v>
      </c>
      <c r="IL2" s="17" t="s">
        <v>39</v>
      </c>
      <c r="IM2" s="18" t="s">
        <v>40</v>
      </c>
      <c r="IN2" s="15" t="s">
        <v>238</v>
      </c>
      <c r="IO2" s="16" t="s">
        <v>239</v>
      </c>
      <c r="IP2" s="17" t="s">
        <v>41</v>
      </c>
      <c r="IQ2" s="18" t="s">
        <v>42</v>
      </c>
      <c r="IR2" s="15" t="s">
        <v>240</v>
      </c>
      <c r="IS2" s="16" t="s">
        <v>241</v>
      </c>
      <c r="IT2" s="17" t="s">
        <v>43</v>
      </c>
      <c r="IU2" s="18" t="s">
        <v>44</v>
      </c>
      <c r="IV2" s="15" t="s">
        <v>242</v>
      </c>
      <c r="IW2" s="16" t="s">
        <v>243</v>
      </c>
      <c r="IX2" s="17" t="s">
        <v>45</v>
      </c>
      <c r="IY2" s="18" t="s">
        <v>46</v>
      </c>
      <c r="IZ2" s="15" t="s">
        <v>244</v>
      </c>
      <c r="JA2" s="16" t="s">
        <v>245</v>
      </c>
      <c r="JB2" s="17" t="s">
        <v>47</v>
      </c>
      <c r="JC2" s="18" t="s">
        <v>48</v>
      </c>
      <c r="JD2" s="15" t="s">
        <v>246</v>
      </c>
      <c r="JE2" s="16" t="s">
        <v>247</v>
      </c>
      <c r="JF2" s="17" t="s">
        <v>49</v>
      </c>
      <c r="JG2" s="18" t="s">
        <v>50</v>
      </c>
      <c r="JH2" s="15" t="s">
        <v>248</v>
      </c>
      <c r="JI2" s="16" t="s">
        <v>249</v>
      </c>
      <c r="JJ2" s="17" t="s">
        <v>51</v>
      </c>
      <c r="JK2" s="18" t="s">
        <v>52</v>
      </c>
      <c r="JL2" s="15" t="s">
        <v>250</v>
      </c>
      <c r="JM2" s="16" t="s">
        <v>251</v>
      </c>
      <c r="JN2" s="17" t="s">
        <v>53</v>
      </c>
      <c r="JO2" s="18" t="s">
        <v>54</v>
      </c>
      <c r="JP2" s="15" t="s">
        <v>252</v>
      </c>
      <c r="JQ2" s="16" t="s">
        <v>253</v>
      </c>
      <c r="JR2" s="17" t="s">
        <v>55</v>
      </c>
      <c r="JS2" s="18" t="s">
        <v>56</v>
      </c>
      <c r="JT2" s="15" t="s">
        <v>254</v>
      </c>
      <c r="JU2" s="16" t="s">
        <v>255</v>
      </c>
      <c r="JV2" s="17" t="s">
        <v>57</v>
      </c>
      <c r="JW2" s="18" t="s">
        <v>58</v>
      </c>
      <c r="JX2" s="15" t="s">
        <v>256</v>
      </c>
      <c r="JY2" s="16" t="s">
        <v>257</v>
      </c>
      <c r="JZ2" s="17" t="s">
        <v>59</v>
      </c>
      <c r="KA2" s="18" t="s">
        <v>60</v>
      </c>
      <c r="KB2" s="15" t="s">
        <v>258</v>
      </c>
      <c r="KC2" s="16" t="s">
        <v>259</v>
      </c>
      <c r="KD2" s="17" t="s">
        <v>61</v>
      </c>
      <c r="KE2" s="18" t="s">
        <v>62</v>
      </c>
      <c r="KF2" s="15" t="s">
        <v>260</v>
      </c>
      <c r="KG2" s="16" t="s">
        <v>261</v>
      </c>
      <c r="KH2" s="17" t="s">
        <v>63</v>
      </c>
      <c r="KI2" s="18" t="s">
        <v>64</v>
      </c>
      <c r="KJ2" s="15" t="s">
        <v>262</v>
      </c>
      <c r="KK2" s="16" t="s">
        <v>263</v>
      </c>
      <c r="KL2" s="17" t="s">
        <v>65</v>
      </c>
      <c r="KM2" s="18" t="s">
        <v>66</v>
      </c>
      <c r="KN2" s="15" t="s">
        <v>264</v>
      </c>
      <c r="KO2" s="16" t="s">
        <v>265</v>
      </c>
      <c r="KP2" s="17" t="s">
        <v>67</v>
      </c>
      <c r="KQ2" s="18" t="s">
        <v>68</v>
      </c>
      <c r="KR2" s="15" t="s">
        <v>266</v>
      </c>
      <c r="KS2" s="16" t="s">
        <v>267</v>
      </c>
      <c r="KT2" s="17" t="s">
        <v>69</v>
      </c>
      <c r="KU2" s="18" t="s">
        <v>70</v>
      </c>
      <c r="KV2" s="15" t="s">
        <v>268</v>
      </c>
      <c r="KW2" s="16" t="s">
        <v>269</v>
      </c>
      <c r="KX2" s="17" t="s">
        <v>71</v>
      </c>
      <c r="KY2" s="18" t="s">
        <v>72</v>
      </c>
      <c r="KZ2" s="15" t="s">
        <v>270</v>
      </c>
      <c r="LA2" s="16" t="s">
        <v>271</v>
      </c>
      <c r="LB2" s="17" t="s">
        <v>73</v>
      </c>
      <c r="LC2" s="18" t="s">
        <v>74</v>
      </c>
      <c r="LD2" s="15" t="s">
        <v>272</v>
      </c>
      <c r="LE2" s="16" t="s">
        <v>273</v>
      </c>
      <c r="LF2" s="17" t="s">
        <v>75</v>
      </c>
      <c r="LG2" s="18" t="s">
        <v>76</v>
      </c>
      <c r="LH2" s="15" t="s">
        <v>274</v>
      </c>
      <c r="LI2" s="16" t="s">
        <v>275</v>
      </c>
      <c r="LJ2" s="17" t="s">
        <v>77</v>
      </c>
      <c r="LK2" s="18" t="s">
        <v>78</v>
      </c>
      <c r="LL2" s="15" t="s">
        <v>568</v>
      </c>
      <c r="LM2" s="16" t="s">
        <v>277</v>
      </c>
      <c r="LN2" s="17" t="s">
        <v>79</v>
      </c>
      <c r="LO2" s="18" t="s">
        <v>80</v>
      </c>
      <c r="LP2" s="15" t="s">
        <v>278</v>
      </c>
      <c r="LQ2" s="16" t="s">
        <v>279</v>
      </c>
      <c r="LR2" s="17" t="s">
        <v>81</v>
      </c>
      <c r="LS2" s="18" t="s">
        <v>82</v>
      </c>
      <c r="LT2" s="15" t="s">
        <v>280</v>
      </c>
      <c r="LU2" s="16" t="s">
        <v>281</v>
      </c>
      <c r="LV2" s="17" t="s">
        <v>83</v>
      </c>
      <c r="LW2" s="18" t="s">
        <v>84</v>
      </c>
      <c r="LX2" s="15" t="s">
        <v>282</v>
      </c>
      <c r="LY2" s="16" t="s">
        <v>283</v>
      </c>
      <c r="LZ2" s="17" t="s">
        <v>85</v>
      </c>
      <c r="MA2" s="18" t="s">
        <v>86</v>
      </c>
      <c r="MB2" s="15" t="s">
        <v>284</v>
      </c>
      <c r="MC2" s="16" t="s">
        <v>285</v>
      </c>
      <c r="MD2" s="17" t="s">
        <v>87</v>
      </c>
      <c r="ME2" s="18" t="s">
        <v>569</v>
      </c>
      <c r="MF2" s="15" t="s">
        <v>286</v>
      </c>
      <c r="MG2" s="16" t="s">
        <v>287</v>
      </c>
      <c r="MH2" s="17" t="s">
        <v>570</v>
      </c>
      <c r="MI2" s="18" t="s">
        <v>90</v>
      </c>
      <c r="MJ2" s="15" t="s">
        <v>288</v>
      </c>
      <c r="MK2" s="16" t="s">
        <v>289</v>
      </c>
      <c r="ML2" s="17" t="s">
        <v>91</v>
      </c>
      <c r="MM2" s="18" t="s">
        <v>92</v>
      </c>
      <c r="MN2" s="53"/>
    </row>
    <row r="3" spans="1:352" s="66" customFormat="1" ht="13.2" x14ac:dyDescent="0.35">
      <c r="A3" s="65" t="s">
        <v>322</v>
      </c>
      <c r="C3" s="95" t="s">
        <v>322</v>
      </c>
      <c r="D3" s="110">
        <v>2</v>
      </c>
      <c r="E3" s="96"/>
      <c r="F3" s="110">
        <v>2</v>
      </c>
      <c r="G3" s="110">
        <v>13</v>
      </c>
      <c r="H3" s="110">
        <v>13</v>
      </c>
      <c r="I3" s="110">
        <v>3</v>
      </c>
      <c r="J3" s="110">
        <v>6</v>
      </c>
      <c r="K3" s="110">
        <v>7</v>
      </c>
      <c r="L3" s="71"/>
      <c r="M3" s="71"/>
      <c r="N3" s="71"/>
      <c r="O3" s="71"/>
      <c r="P3" s="98">
        <f>COLUMN(P7)</f>
        <v>16</v>
      </c>
      <c r="R3" s="71"/>
      <c r="S3" s="71"/>
      <c r="T3" s="110">
        <v>20</v>
      </c>
      <c r="U3" s="110">
        <v>21</v>
      </c>
      <c r="V3" s="97">
        <v>36</v>
      </c>
      <c r="W3" s="97">
        <v>32</v>
      </c>
      <c r="X3" s="97">
        <v>33</v>
      </c>
      <c r="Y3" s="97">
        <v>34</v>
      </c>
      <c r="Z3" s="99"/>
      <c r="AA3" s="99"/>
      <c r="AB3" s="99"/>
      <c r="AC3" s="99"/>
      <c r="AD3" s="97">
        <v>38</v>
      </c>
      <c r="AE3" s="100">
        <v>39</v>
      </c>
      <c r="AF3" s="100">
        <v>40</v>
      </c>
      <c r="AG3" s="96"/>
      <c r="AH3" s="110">
        <v>10</v>
      </c>
      <c r="AI3" s="110">
        <v>11</v>
      </c>
      <c r="AJ3" s="96"/>
      <c r="AK3" s="99"/>
      <c r="AL3" s="99"/>
      <c r="AM3" s="71"/>
      <c r="AN3" s="96"/>
      <c r="AO3" s="96"/>
      <c r="AQ3" s="101" t="s">
        <v>571</v>
      </c>
      <c r="AR3" s="101" t="s">
        <v>572</v>
      </c>
      <c r="AS3" s="101" t="s">
        <v>573</v>
      </c>
      <c r="AT3" s="2"/>
      <c r="AU3" s="2"/>
      <c r="AV3" s="71"/>
      <c r="AW3" s="71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X3" s="2"/>
      <c r="FY3" s="2"/>
      <c r="FZ3" s="2"/>
      <c r="GA3" s="2"/>
      <c r="GB3" s="102"/>
      <c r="GC3" s="98"/>
      <c r="GE3" s="71"/>
      <c r="GF3" s="71"/>
      <c r="GG3" s="110">
        <v>20</v>
      </c>
      <c r="GH3" s="110">
        <v>21</v>
      </c>
      <c r="GI3" s="97">
        <v>36</v>
      </c>
      <c r="GJ3" s="97">
        <v>32</v>
      </c>
      <c r="GK3" s="97">
        <v>33</v>
      </c>
      <c r="GL3" s="97">
        <v>34</v>
      </c>
      <c r="GM3" s="99"/>
      <c r="GN3" s="99"/>
      <c r="GO3" s="99"/>
      <c r="GP3" s="99"/>
      <c r="GQ3" s="97">
        <v>38</v>
      </c>
      <c r="GR3" s="100">
        <v>39</v>
      </c>
      <c r="GS3" s="100">
        <v>40</v>
      </c>
      <c r="GT3" s="96"/>
      <c r="GU3" s="110">
        <v>10</v>
      </c>
      <c r="GV3" s="110">
        <v>11</v>
      </c>
      <c r="GW3" s="96"/>
      <c r="GX3" s="99"/>
      <c r="GY3" s="99"/>
      <c r="GZ3" s="71"/>
      <c r="HA3" s="96"/>
      <c r="HB3" s="96"/>
      <c r="HD3" s="71"/>
      <c r="HE3" s="71"/>
      <c r="HF3" s="71"/>
      <c r="HG3" s="2"/>
      <c r="HH3" s="2"/>
      <c r="HI3" s="71"/>
      <c r="HJ3" s="71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</row>
    <row r="4" spans="1:352" s="66" customFormat="1" ht="13.2" x14ac:dyDescent="0.35">
      <c r="A4" s="65" t="s">
        <v>322</v>
      </c>
      <c r="B4" s="65" t="s">
        <v>322</v>
      </c>
      <c r="C4" s="65" t="s">
        <v>322</v>
      </c>
      <c r="P4" s="103">
        <f>COLUMN(P7)</f>
        <v>16</v>
      </c>
      <c r="Q4" s="71"/>
      <c r="AP4" s="71"/>
      <c r="AQ4" s="104">
        <v>1</v>
      </c>
      <c r="AR4" s="104">
        <v>2</v>
      </c>
      <c r="AS4" s="104">
        <v>3</v>
      </c>
      <c r="AT4" s="71"/>
      <c r="AU4" s="71"/>
      <c r="AX4" s="71"/>
      <c r="AY4" s="71"/>
      <c r="AZ4" s="72"/>
      <c r="BA4" s="71"/>
      <c r="BB4" s="71"/>
      <c r="BC4" s="71"/>
      <c r="BD4" s="71"/>
      <c r="BE4" s="71"/>
      <c r="BF4" s="105">
        <f>COLUMN(BG4)</f>
        <v>59</v>
      </c>
      <c r="BG4" s="30" t="e">
        <f ca="1">BJ6</f>
        <v>#REF!</v>
      </c>
      <c r="BH4" s="31" t="e">
        <f ca="1">BG4</f>
        <v>#REF!</v>
      </c>
      <c r="BI4" s="31" t="e">
        <f t="shared" ref="BI4:BJ4" ca="1" si="0">BH4</f>
        <v>#REF!</v>
      </c>
      <c r="BJ4" s="32" t="e">
        <f t="shared" ca="1" si="0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1">BL4</f>
        <v>#REF!</v>
      </c>
      <c r="BN4" s="32" t="e">
        <f t="shared" ca="1" si="1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2">BP4</f>
        <v>#REF!</v>
      </c>
      <c r="BR4" s="32" t="e">
        <f t="shared" ca="1" si="2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3">BT4</f>
        <v>#REF!</v>
      </c>
      <c r="BV4" s="32" t="e">
        <f t="shared" ca="1" si="3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4">BX4</f>
        <v>#REF!</v>
      </c>
      <c r="BZ4" s="32" t="e">
        <f t="shared" ca="1" si="4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5">CB4</f>
        <v>#REF!</v>
      </c>
      <c r="CD4" s="32" t="e">
        <f t="shared" ca="1" si="5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6">CF4</f>
        <v>#REF!</v>
      </c>
      <c r="CH4" s="32" t="e">
        <f t="shared" ca="1" si="6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7">CJ4</f>
        <v>#REF!</v>
      </c>
      <c r="CL4" s="32" t="e">
        <f t="shared" ca="1" si="7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8">CN4</f>
        <v>#REF!</v>
      </c>
      <c r="CP4" s="32" t="e">
        <f t="shared" ca="1" si="8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9">CR4</f>
        <v>#REF!</v>
      </c>
      <c r="CT4" s="32" t="e">
        <f t="shared" ca="1" si="9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0">CV4</f>
        <v>#REF!</v>
      </c>
      <c r="CX4" s="32" t="e">
        <f t="shared" ca="1" si="10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1">CZ4</f>
        <v>#REF!</v>
      </c>
      <c r="DB4" s="32" t="e">
        <f t="shared" ca="1" si="11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2">DD4</f>
        <v>#REF!</v>
      </c>
      <c r="DF4" s="32" t="e">
        <f t="shared" ca="1" si="12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3">DH4</f>
        <v>#REF!</v>
      </c>
      <c r="DJ4" s="32" t="e">
        <f t="shared" ca="1" si="13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4">DL4</f>
        <v>#REF!</v>
      </c>
      <c r="DN4" s="32" t="e">
        <f t="shared" ca="1" si="14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5">DP4</f>
        <v>#REF!</v>
      </c>
      <c r="DR4" s="32" t="e">
        <f t="shared" ca="1" si="15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6">DT4</f>
        <v>#REF!</v>
      </c>
      <c r="DV4" s="32" t="e">
        <f t="shared" ca="1" si="16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17">DX4</f>
        <v>#REF!</v>
      </c>
      <c r="DZ4" s="32" t="e">
        <f t="shared" ca="1" si="17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18">EB4</f>
        <v>#REF!</v>
      </c>
      <c r="ED4" s="32" t="e">
        <f t="shared" ca="1" si="18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19">EF4</f>
        <v>#REF!</v>
      </c>
      <c r="EH4" s="32" t="e">
        <f t="shared" ca="1" si="19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0">EJ4</f>
        <v>#REF!</v>
      </c>
      <c r="EL4" s="32" t="e">
        <f t="shared" ca="1" si="20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1">EN4</f>
        <v>#REF!</v>
      </c>
      <c r="EP4" s="32" t="e">
        <f t="shared" ca="1" si="21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2">ER4</f>
        <v>#REF!</v>
      </c>
      <c r="ET4" s="32" t="e">
        <f t="shared" ca="1" si="22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3">EV4</f>
        <v>#REF!</v>
      </c>
      <c r="EX4" s="32" t="e">
        <f t="shared" ca="1" si="23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4">EZ4</f>
        <v>#REF!</v>
      </c>
      <c r="FB4" s="32" t="e">
        <f t="shared" ca="1" si="24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5">FD4</f>
        <v>#REF!</v>
      </c>
      <c r="FF4" s="32" t="e">
        <f t="shared" ca="1" si="25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6">FH4</f>
        <v>#REF!</v>
      </c>
      <c r="FJ4" s="32" t="e">
        <f t="shared" ca="1" si="26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27">FL4</f>
        <v>#REF!</v>
      </c>
      <c r="FN4" s="32" t="e">
        <f t="shared" ca="1" si="27"/>
        <v>#REF!</v>
      </c>
      <c r="FO4" s="30" t="e">
        <f ca="1">FR6</f>
        <v>#REF!</v>
      </c>
      <c r="FP4" s="31" t="e">
        <f ca="1">FO4</f>
        <v>#REF!</v>
      </c>
      <c r="FQ4" s="31" t="e">
        <f t="shared" ref="FQ4:FR4" ca="1" si="28">FP4</f>
        <v>#REF!</v>
      </c>
      <c r="FR4" s="32" t="e">
        <f t="shared" ca="1" si="28"/>
        <v>#REF!</v>
      </c>
      <c r="FS4" s="30" t="e">
        <f ca="1">FV6</f>
        <v>#REF!</v>
      </c>
      <c r="FT4" s="31" t="e">
        <f ca="1">FS4</f>
        <v>#REF!</v>
      </c>
      <c r="FU4" s="31" t="e">
        <f t="shared" ref="FU4:FV4" ca="1" si="29">FT4</f>
        <v>#REF!</v>
      </c>
      <c r="FV4" s="32" t="e">
        <f t="shared" ca="1" si="29"/>
        <v>#REF!</v>
      </c>
      <c r="FW4" s="30" t="e">
        <f ca="1">FZ6</f>
        <v>#REF!</v>
      </c>
      <c r="FX4" s="31" t="e">
        <f ca="1">FW4</f>
        <v>#REF!</v>
      </c>
      <c r="FY4" s="31" t="e">
        <f t="shared" ref="FY4:FZ4" ca="1" si="30">FX4</f>
        <v>#REF!</v>
      </c>
      <c r="FZ4" s="32" t="e">
        <f t="shared" ca="1" si="30"/>
        <v>#REF!</v>
      </c>
      <c r="GA4" s="106">
        <f>COLUMN(FZ4)</f>
        <v>182</v>
      </c>
      <c r="GB4" s="107"/>
      <c r="GC4" s="106">
        <f>COLUMN(GC7)</f>
        <v>185</v>
      </c>
      <c r="GD4" s="71"/>
      <c r="HC4" s="71"/>
      <c r="HD4" s="71"/>
      <c r="HE4" s="71"/>
      <c r="HF4" s="71"/>
      <c r="HG4" s="71"/>
      <c r="HH4" s="71"/>
      <c r="HK4" s="71"/>
      <c r="HL4" s="71"/>
      <c r="HM4" s="72"/>
      <c r="HN4" s="71"/>
      <c r="HO4" s="71"/>
      <c r="HP4" s="71"/>
      <c r="HQ4" s="71"/>
      <c r="HR4" s="71"/>
      <c r="HS4" s="105">
        <f>COLUMN(HT4)</f>
        <v>228</v>
      </c>
      <c r="HT4" s="30" t="e">
        <f ca="1">HW6</f>
        <v>#REF!</v>
      </c>
      <c r="HU4" s="31" t="e">
        <f ca="1">HT4</f>
        <v>#REF!</v>
      </c>
      <c r="HV4" s="31" t="e">
        <f t="shared" ref="HV4:HW4" ca="1" si="31">HU4</f>
        <v>#REF!</v>
      </c>
      <c r="HW4" s="32" t="e">
        <f t="shared" ca="1" si="31"/>
        <v>#REF!</v>
      </c>
      <c r="HX4" s="30" t="e">
        <f ca="1">IA6</f>
        <v>#REF!</v>
      </c>
      <c r="HY4" s="31" t="e">
        <f ca="1">HX4</f>
        <v>#REF!</v>
      </c>
      <c r="HZ4" s="31" t="e">
        <f t="shared" ref="HZ4:IA4" ca="1" si="32">HY4</f>
        <v>#REF!</v>
      </c>
      <c r="IA4" s="32" t="e">
        <f t="shared" ca="1" si="32"/>
        <v>#REF!</v>
      </c>
      <c r="IB4" s="30" t="e">
        <f ca="1">IE6</f>
        <v>#REF!</v>
      </c>
      <c r="IC4" s="31" t="e">
        <f ca="1">IB4</f>
        <v>#REF!</v>
      </c>
      <c r="ID4" s="31" t="e">
        <f t="shared" ref="ID4:IE4" ca="1" si="33">IC4</f>
        <v>#REF!</v>
      </c>
      <c r="IE4" s="32" t="e">
        <f t="shared" ca="1" si="33"/>
        <v>#REF!</v>
      </c>
      <c r="IF4" s="30" t="e">
        <f ca="1">II6</f>
        <v>#REF!</v>
      </c>
      <c r="IG4" s="31" t="e">
        <f ca="1">IF4</f>
        <v>#REF!</v>
      </c>
      <c r="IH4" s="31" t="e">
        <f t="shared" ref="IH4:II4" ca="1" si="34">IG4</f>
        <v>#REF!</v>
      </c>
      <c r="II4" s="32" t="e">
        <f t="shared" ca="1" si="34"/>
        <v>#REF!</v>
      </c>
      <c r="IJ4" s="30" t="e">
        <f ca="1">IM6</f>
        <v>#REF!</v>
      </c>
      <c r="IK4" s="31" t="e">
        <f ca="1">IJ4</f>
        <v>#REF!</v>
      </c>
      <c r="IL4" s="31" t="e">
        <f t="shared" ref="IL4:IM4" ca="1" si="35">IK4</f>
        <v>#REF!</v>
      </c>
      <c r="IM4" s="32" t="e">
        <f t="shared" ca="1" si="35"/>
        <v>#REF!</v>
      </c>
      <c r="IN4" s="30" t="e">
        <f ca="1">IQ6</f>
        <v>#REF!</v>
      </c>
      <c r="IO4" s="31" t="e">
        <f ca="1">IN4</f>
        <v>#REF!</v>
      </c>
      <c r="IP4" s="31" t="e">
        <f t="shared" ref="IP4:IQ4" ca="1" si="36">IO4</f>
        <v>#REF!</v>
      </c>
      <c r="IQ4" s="32" t="e">
        <f t="shared" ca="1" si="36"/>
        <v>#REF!</v>
      </c>
      <c r="IR4" s="30" t="e">
        <f ca="1">IU6</f>
        <v>#REF!</v>
      </c>
      <c r="IS4" s="31" t="e">
        <f ca="1">IR4</f>
        <v>#REF!</v>
      </c>
      <c r="IT4" s="31" t="e">
        <f t="shared" ref="IT4:IU4" ca="1" si="37">IS4</f>
        <v>#REF!</v>
      </c>
      <c r="IU4" s="32" t="e">
        <f t="shared" ca="1" si="37"/>
        <v>#REF!</v>
      </c>
      <c r="IV4" s="30" t="e">
        <f ca="1">IY6</f>
        <v>#REF!</v>
      </c>
      <c r="IW4" s="31" t="e">
        <f ca="1">IV4</f>
        <v>#REF!</v>
      </c>
      <c r="IX4" s="31" t="e">
        <f t="shared" ref="IX4:IY4" ca="1" si="38">IW4</f>
        <v>#REF!</v>
      </c>
      <c r="IY4" s="32" t="e">
        <f t="shared" ca="1" si="38"/>
        <v>#REF!</v>
      </c>
      <c r="IZ4" s="30" t="e">
        <f ca="1">JC6</f>
        <v>#REF!</v>
      </c>
      <c r="JA4" s="31" t="e">
        <f ca="1">IZ4</f>
        <v>#REF!</v>
      </c>
      <c r="JB4" s="31" t="e">
        <f t="shared" ref="JB4:JC4" ca="1" si="39">JA4</f>
        <v>#REF!</v>
      </c>
      <c r="JC4" s="32" t="e">
        <f t="shared" ca="1" si="39"/>
        <v>#REF!</v>
      </c>
      <c r="JD4" s="30" t="e">
        <f ca="1">JG6</f>
        <v>#REF!</v>
      </c>
      <c r="JE4" s="31" t="e">
        <f ca="1">JD4</f>
        <v>#REF!</v>
      </c>
      <c r="JF4" s="31" t="e">
        <f t="shared" ref="JF4:JG4" ca="1" si="40">JE4</f>
        <v>#REF!</v>
      </c>
      <c r="JG4" s="32" t="e">
        <f t="shared" ca="1" si="40"/>
        <v>#REF!</v>
      </c>
      <c r="JH4" s="30" t="e">
        <f ca="1">JK6</f>
        <v>#REF!</v>
      </c>
      <c r="JI4" s="31" t="e">
        <f ca="1">JH4</f>
        <v>#REF!</v>
      </c>
      <c r="JJ4" s="31" t="e">
        <f t="shared" ref="JJ4:JK4" ca="1" si="41">JI4</f>
        <v>#REF!</v>
      </c>
      <c r="JK4" s="32" t="e">
        <f t="shared" ca="1" si="41"/>
        <v>#REF!</v>
      </c>
      <c r="JL4" s="30" t="e">
        <f ca="1">JO6</f>
        <v>#REF!</v>
      </c>
      <c r="JM4" s="31" t="e">
        <f ca="1">JL4</f>
        <v>#REF!</v>
      </c>
      <c r="JN4" s="31" t="e">
        <f t="shared" ref="JN4:JO4" ca="1" si="42">JM4</f>
        <v>#REF!</v>
      </c>
      <c r="JO4" s="32" t="e">
        <f t="shared" ca="1" si="42"/>
        <v>#REF!</v>
      </c>
      <c r="JP4" s="30" t="e">
        <f ca="1">JS6</f>
        <v>#REF!</v>
      </c>
      <c r="JQ4" s="31" t="e">
        <f ca="1">JP4</f>
        <v>#REF!</v>
      </c>
      <c r="JR4" s="31" t="e">
        <f t="shared" ref="JR4:JS4" ca="1" si="43">JQ4</f>
        <v>#REF!</v>
      </c>
      <c r="JS4" s="32" t="e">
        <f t="shared" ca="1" si="43"/>
        <v>#REF!</v>
      </c>
      <c r="JT4" s="30" t="e">
        <f ca="1">JW6</f>
        <v>#REF!</v>
      </c>
      <c r="JU4" s="31" t="e">
        <f ca="1">JT4</f>
        <v>#REF!</v>
      </c>
      <c r="JV4" s="31" t="e">
        <f t="shared" ref="JV4:JW4" ca="1" si="44">JU4</f>
        <v>#REF!</v>
      </c>
      <c r="JW4" s="32" t="e">
        <f t="shared" ca="1" si="44"/>
        <v>#REF!</v>
      </c>
      <c r="JX4" s="30" t="e">
        <f ca="1">KA6</f>
        <v>#REF!</v>
      </c>
      <c r="JY4" s="31" t="e">
        <f ca="1">JX4</f>
        <v>#REF!</v>
      </c>
      <c r="JZ4" s="31" t="e">
        <f t="shared" ref="JZ4:KA4" ca="1" si="45">JY4</f>
        <v>#REF!</v>
      </c>
      <c r="KA4" s="32" t="e">
        <f t="shared" ca="1" si="45"/>
        <v>#REF!</v>
      </c>
      <c r="KB4" s="30" t="e">
        <f ca="1">KE6</f>
        <v>#REF!</v>
      </c>
      <c r="KC4" s="31" t="e">
        <f ca="1">KB4</f>
        <v>#REF!</v>
      </c>
      <c r="KD4" s="31" t="e">
        <f t="shared" ref="KD4:KE4" ca="1" si="46">KC4</f>
        <v>#REF!</v>
      </c>
      <c r="KE4" s="32" t="e">
        <f t="shared" ca="1" si="46"/>
        <v>#REF!</v>
      </c>
      <c r="KF4" s="30" t="e">
        <f ca="1">KI6</f>
        <v>#REF!</v>
      </c>
      <c r="KG4" s="31" t="e">
        <f ca="1">KF4</f>
        <v>#REF!</v>
      </c>
      <c r="KH4" s="31" t="e">
        <f t="shared" ref="KH4:KI4" ca="1" si="47">KG4</f>
        <v>#REF!</v>
      </c>
      <c r="KI4" s="32" t="e">
        <f t="shared" ca="1" si="47"/>
        <v>#REF!</v>
      </c>
      <c r="KJ4" s="30" t="e">
        <f ca="1">KM6</f>
        <v>#REF!</v>
      </c>
      <c r="KK4" s="31" t="e">
        <f ca="1">KJ4</f>
        <v>#REF!</v>
      </c>
      <c r="KL4" s="31" t="e">
        <f t="shared" ref="KL4:KM4" ca="1" si="48">KK4</f>
        <v>#REF!</v>
      </c>
      <c r="KM4" s="32" t="e">
        <f t="shared" ca="1" si="48"/>
        <v>#REF!</v>
      </c>
      <c r="KN4" s="30" t="e">
        <f ca="1">KQ6</f>
        <v>#REF!</v>
      </c>
      <c r="KO4" s="31" t="e">
        <f ca="1">KN4</f>
        <v>#REF!</v>
      </c>
      <c r="KP4" s="31" t="e">
        <f t="shared" ref="KP4:KQ4" ca="1" si="49">KO4</f>
        <v>#REF!</v>
      </c>
      <c r="KQ4" s="32" t="e">
        <f t="shared" ca="1" si="49"/>
        <v>#REF!</v>
      </c>
      <c r="KR4" s="30" t="e">
        <f ca="1">KU6</f>
        <v>#REF!</v>
      </c>
      <c r="KS4" s="31" t="e">
        <f ca="1">KR4</f>
        <v>#REF!</v>
      </c>
      <c r="KT4" s="31" t="e">
        <f t="shared" ref="KT4:KU4" ca="1" si="50">KS4</f>
        <v>#REF!</v>
      </c>
      <c r="KU4" s="32" t="e">
        <f t="shared" ca="1" si="50"/>
        <v>#REF!</v>
      </c>
      <c r="KV4" s="30" t="e">
        <f ca="1">KY6</f>
        <v>#REF!</v>
      </c>
      <c r="KW4" s="31" t="e">
        <f ca="1">KV4</f>
        <v>#REF!</v>
      </c>
      <c r="KX4" s="31" t="e">
        <f t="shared" ref="KX4:KY4" ca="1" si="51">KW4</f>
        <v>#REF!</v>
      </c>
      <c r="KY4" s="32" t="e">
        <f t="shared" ca="1" si="51"/>
        <v>#REF!</v>
      </c>
      <c r="KZ4" s="30" t="e">
        <f ca="1">LC6</f>
        <v>#REF!</v>
      </c>
      <c r="LA4" s="31" t="e">
        <f ca="1">KZ4</f>
        <v>#REF!</v>
      </c>
      <c r="LB4" s="31" t="e">
        <f t="shared" ref="LB4:LC4" ca="1" si="52">LA4</f>
        <v>#REF!</v>
      </c>
      <c r="LC4" s="32" t="e">
        <f t="shared" ca="1" si="52"/>
        <v>#REF!</v>
      </c>
      <c r="LD4" s="30" t="e">
        <f ca="1">LG6</f>
        <v>#REF!</v>
      </c>
      <c r="LE4" s="31" t="e">
        <f ca="1">LD4</f>
        <v>#REF!</v>
      </c>
      <c r="LF4" s="31" t="e">
        <f t="shared" ref="LF4:LG4" ca="1" si="53">LE4</f>
        <v>#REF!</v>
      </c>
      <c r="LG4" s="32" t="e">
        <f t="shared" ca="1" si="53"/>
        <v>#REF!</v>
      </c>
      <c r="LH4" s="30" t="e">
        <f ca="1">LK6</f>
        <v>#REF!</v>
      </c>
      <c r="LI4" s="31" t="e">
        <f ca="1">LH4</f>
        <v>#REF!</v>
      </c>
      <c r="LJ4" s="31" t="e">
        <f t="shared" ref="LJ4:LK4" ca="1" si="54">LI4</f>
        <v>#REF!</v>
      </c>
      <c r="LK4" s="32" t="e">
        <f t="shared" ca="1" si="54"/>
        <v>#REF!</v>
      </c>
      <c r="LL4" s="30" t="e">
        <f ca="1">LO6</f>
        <v>#REF!</v>
      </c>
      <c r="LM4" s="31" t="e">
        <f ca="1">LL4</f>
        <v>#REF!</v>
      </c>
      <c r="LN4" s="31" t="e">
        <f t="shared" ref="LN4:LO4" ca="1" si="55">LM4</f>
        <v>#REF!</v>
      </c>
      <c r="LO4" s="32" t="e">
        <f t="shared" ca="1" si="55"/>
        <v>#REF!</v>
      </c>
      <c r="LP4" s="30" t="e">
        <f ca="1">LS6</f>
        <v>#REF!</v>
      </c>
      <c r="LQ4" s="31" t="e">
        <f ca="1">LP4</f>
        <v>#REF!</v>
      </c>
      <c r="LR4" s="31" t="e">
        <f t="shared" ref="LR4:LS4" ca="1" si="56">LQ4</f>
        <v>#REF!</v>
      </c>
      <c r="LS4" s="32" t="e">
        <f t="shared" ca="1" si="56"/>
        <v>#REF!</v>
      </c>
      <c r="LT4" s="30" t="e">
        <f ca="1">LW6</f>
        <v>#REF!</v>
      </c>
      <c r="LU4" s="31" t="e">
        <f ca="1">LT4</f>
        <v>#REF!</v>
      </c>
      <c r="LV4" s="31" t="e">
        <f t="shared" ref="LV4:LW4" ca="1" si="57">LU4</f>
        <v>#REF!</v>
      </c>
      <c r="LW4" s="32" t="e">
        <f t="shared" ca="1" si="57"/>
        <v>#REF!</v>
      </c>
      <c r="LX4" s="30" t="e">
        <f ca="1">MA6</f>
        <v>#REF!</v>
      </c>
      <c r="LY4" s="31" t="e">
        <f ca="1">LX4</f>
        <v>#REF!</v>
      </c>
      <c r="LZ4" s="31" t="e">
        <f t="shared" ref="LZ4:MA4" ca="1" si="58">LY4</f>
        <v>#REF!</v>
      </c>
      <c r="MA4" s="32" t="e">
        <f t="shared" ca="1" si="58"/>
        <v>#REF!</v>
      </c>
      <c r="MB4" s="30" t="e">
        <f ca="1">ME6</f>
        <v>#REF!</v>
      </c>
      <c r="MC4" s="31" t="e">
        <f ca="1">MB4</f>
        <v>#REF!</v>
      </c>
      <c r="MD4" s="31" t="e">
        <f t="shared" ref="MD4:ME4" ca="1" si="59">MC4</f>
        <v>#REF!</v>
      </c>
      <c r="ME4" s="32" t="e">
        <f t="shared" ca="1" si="59"/>
        <v>#REF!</v>
      </c>
      <c r="MF4" s="30" t="e">
        <f ca="1">MI6</f>
        <v>#REF!</v>
      </c>
      <c r="MG4" s="31" t="e">
        <f ca="1">MF4</f>
        <v>#REF!</v>
      </c>
      <c r="MH4" s="31" t="e">
        <f t="shared" ref="MH4:MI4" ca="1" si="60">MG4</f>
        <v>#REF!</v>
      </c>
      <c r="MI4" s="32" t="e">
        <f t="shared" ca="1" si="60"/>
        <v>#REF!</v>
      </c>
      <c r="MJ4" s="30" t="e">
        <f ca="1">MM6</f>
        <v>#REF!</v>
      </c>
      <c r="MK4" s="31" t="e">
        <f ca="1">MJ4</f>
        <v>#REF!</v>
      </c>
      <c r="ML4" s="31" t="e">
        <f t="shared" ref="ML4:MM4" ca="1" si="61">MK4</f>
        <v>#REF!</v>
      </c>
      <c r="MM4" s="32" t="e">
        <f t="shared" ca="1" si="61"/>
        <v>#REF!</v>
      </c>
    </row>
    <row r="5" spans="1:352" s="66" customFormat="1" ht="15.75" customHeight="1" x14ac:dyDescent="0.35">
      <c r="A5" s="65" t="s">
        <v>322</v>
      </c>
      <c r="B5" s="65" t="s">
        <v>322</v>
      </c>
      <c r="C5" s="177">
        <v>2014</v>
      </c>
      <c r="D5" s="178"/>
      <c r="E5" s="26">
        <v>7</v>
      </c>
      <c r="G5" s="109" t="s">
        <v>574</v>
      </c>
      <c r="H5" s="27">
        <f ca="1">COUNTIFS(OFFSET($BG$6,0,0,1,4*31),"工")*8</f>
        <v>0</v>
      </c>
      <c r="I5" s="109" t="s">
        <v>575</v>
      </c>
      <c r="J5" s="67">
        <v>5</v>
      </c>
      <c r="K5" s="68"/>
      <c r="L5" s="109" t="s">
        <v>576</v>
      </c>
      <c r="M5" s="28" t="e">
        <f ca="1">VLOOKUP($E$5&amp;"-"&amp;$J$5,OFFSET(INDIRECT("行事历!C53"),0,0,100,6),6,FALSE)</f>
        <v>#REF!</v>
      </c>
      <c r="N5" s="109" t="s">
        <v>577</v>
      </c>
      <c r="O5" s="27" t="e">
        <f ca="1">COUNTIFS(OFFSET($BG$6,0,0,1,4*DAY($M$5)),"工")*8</f>
        <v>#REF!</v>
      </c>
      <c r="P5" s="71">
        <f>COLUMN(P7)</f>
        <v>16</v>
      </c>
      <c r="R5" s="29"/>
      <c r="S5" s="29"/>
      <c r="Z5" s="29"/>
      <c r="AA5" s="69">
        <f>DATE($C$5,$E$5,1)</f>
        <v>41821</v>
      </c>
      <c r="AB5" s="70" t="e">
        <f ca="1">$M$5</f>
        <v>#REF!</v>
      </c>
      <c r="AC5" s="29"/>
      <c r="AD5" s="29"/>
      <c r="AE5" s="29"/>
      <c r="AF5" s="29"/>
      <c r="AH5" s="69">
        <f>DATE($C$5,$E$5,1)</f>
        <v>41821</v>
      </c>
      <c r="AI5" s="70" t="e">
        <f ca="1">$M$5</f>
        <v>#REF!</v>
      </c>
      <c r="AT5" s="71"/>
      <c r="AU5" s="71"/>
      <c r="AX5" s="71">
        <f>COLUMN(BG7)</f>
        <v>59</v>
      </c>
      <c r="AY5" s="71"/>
      <c r="AZ5" s="72"/>
      <c r="BA5" s="2"/>
      <c r="BB5" s="71"/>
      <c r="BC5" s="71"/>
      <c r="BD5" s="71"/>
      <c r="BE5" s="71"/>
      <c r="BF5" s="71"/>
      <c r="BG5" s="30">
        <v>1</v>
      </c>
      <c r="BH5" s="31">
        <v>1</v>
      </c>
      <c r="BI5" s="31">
        <v>1</v>
      </c>
      <c r="BJ5" s="32">
        <v>1</v>
      </c>
      <c r="BK5" s="30">
        <v>2</v>
      </c>
      <c r="BL5" s="31">
        <v>2</v>
      </c>
      <c r="BM5" s="31">
        <v>2</v>
      </c>
      <c r="BN5" s="32">
        <v>2</v>
      </c>
      <c r="BO5" s="30">
        <v>3</v>
      </c>
      <c r="BP5" s="31">
        <v>3</v>
      </c>
      <c r="BQ5" s="31">
        <v>3</v>
      </c>
      <c r="BR5" s="32">
        <v>3</v>
      </c>
      <c r="BS5" s="30">
        <v>4</v>
      </c>
      <c r="BT5" s="31">
        <v>4</v>
      </c>
      <c r="BU5" s="31">
        <v>4</v>
      </c>
      <c r="BV5" s="32">
        <v>4</v>
      </c>
      <c r="BW5" s="30">
        <v>5</v>
      </c>
      <c r="BX5" s="31">
        <v>5</v>
      </c>
      <c r="BY5" s="31">
        <v>5</v>
      </c>
      <c r="BZ5" s="32">
        <v>5</v>
      </c>
      <c r="CA5" s="30">
        <v>6</v>
      </c>
      <c r="CB5" s="31">
        <v>6</v>
      </c>
      <c r="CC5" s="31">
        <v>6</v>
      </c>
      <c r="CD5" s="32">
        <v>6</v>
      </c>
      <c r="CE5" s="30">
        <v>7</v>
      </c>
      <c r="CF5" s="31">
        <v>7</v>
      </c>
      <c r="CG5" s="31">
        <v>7</v>
      </c>
      <c r="CH5" s="32">
        <v>7</v>
      </c>
      <c r="CI5" s="30">
        <v>8</v>
      </c>
      <c r="CJ5" s="31">
        <v>8</v>
      </c>
      <c r="CK5" s="31">
        <v>8</v>
      </c>
      <c r="CL5" s="32">
        <v>8</v>
      </c>
      <c r="CM5" s="30">
        <v>9</v>
      </c>
      <c r="CN5" s="31">
        <v>9</v>
      </c>
      <c r="CO5" s="31">
        <v>9</v>
      </c>
      <c r="CP5" s="32">
        <v>9</v>
      </c>
      <c r="CQ5" s="30">
        <v>10</v>
      </c>
      <c r="CR5" s="31">
        <v>10</v>
      </c>
      <c r="CS5" s="31">
        <v>10</v>
      </c>
      <c r="CT5" s="32">
        <v>10</v>
      </c>
      <c r="CU5" s="30">
        <v>11</v>
      </c>
      <c r="CV5" s="31">
        <v>11</v>
      </c>
      <c r="CW5" s="31">
        <v>11</v>
      </c>
      <c r="CX5" s="32">
        <v>11</v>
      </c>
      <c r="CY5" s="30">
        <v>12</v>
      </c>
      <c r="CZ5" s="31">
        <v>12</v>
      </c>
      <c r="DA5" s="31">
        <v>12</v>
      </c>
      <c r="DB5" s="32">
        <v>12</v>
      </c>
      <c r="DC5" s="30">
        <v>13</v>
      </c>
      <c r="DD5" s="31">
        <v>13</v>
      </c>
      <c r="DE5" s="31">
        <v>13</v>
      </c>
      <c r="DF5" s="32">
        <v>13</v>
      </c>
      <c r="DG5" s="30">
        <v>14</v>
      </c>
      <c r="DH5" s="31">
        <v>14</v>
      </c>
      <c r="DI5" s="31">
        <v>14</v>
      </c>
      <c r="DJ5" s="32">
        <v>14</v>
      </c>
      <c r="DK5" s="30">
        <v>15</v>
      </c>
      <c r="DL5" s="31">
        <v>15</v>
      </c>
      <c r="DM5" s="31">
        <v>15</v>
      </c>
      <c r="DN5" s="32">
        <v>15</v>
      </c>
      <c r="DO5" s="30">
        <v>16</v>
      </c>
      <c r="DP5" s="31">
        <v>16</v>
      </c>
      <c r="DQ5" s="31">
        <v>16</v>
      </c>
      <c r="DR5" s="32">
        <v>16</v>
      </c>
      <c r="DS5" s="30">
        <v>17</v>
      </c>
      <c r="DT5" s="31">
        <v>17</v>
      </c>
      <c r="DU5" s="31">
        <v>17</v>
      </c>
      <c r="DV5" s="32">
        <v>17</v>
      </c>
      <c r="DW5" s="30">
        <v>18</v>
      </c>
      <c r="DX5" s="31">
        <v>18</v>
      </c>
      <c r="DY5" s="31">
        <v>18</v>
      </c>
      <c r="DZ5" s="32">
        <v>18</v>
      </c>
      <c r="EA5" s="30">
        <v>19</v>
      </c>
      <c r="EB5" s="31">
        <v>19</v>
      </c>
      <c r="EC5" s="31">
        <v>19</v>
      </c>
      <c r="ED5" s="32">
        <v>19</v>
      </c>
      <c r="EE5" s="30">
        <v>20</v>
      </c>
      <c r="EF5" s="31">
        <v>20</v>
      </c>
      <c r="EG5" s="31">
        <v>20</v>
      </c>
      <c r="EH5" s="32">
        <v>20</v>
      </c>
      <c r="EI5" s="30">
        <v>21</v>
      </c>
      <c r="EJ5" s="31">
        <v>21</v>
      </c>
      <c r="EK5" s="31">
        <v>21</v>
      </c>
      <c r="EL5" s="32">
        <v>21</v>
      </c>
      <c r="EM5" s="30">
        <v>22</v>
      </c>
      <c r="EN5" s="31">
        <v>22</v>
      </c>
      <c r="EO5" s="31">
        <v>22</v>
      </c>
      <c r="EP5" s="32">
        <v>22</v>
      </c>
      <c r="EQ5" s="30">
        <v>23</v>
      </c>
      <c r="ER5" s="31">
        <v>23</v>
      </c>
      <c r="ES5" s="31">
        <v>23</v>
      </c>
      <c r="ET5" s="32">
        <v>23</v>
      </c>
      <c r="EU5" s="30">
        <v>24</v>
      </c>
      <c r="EV5" s="31">
        <v>24</v>
      </c>
      <c r="EW5" s="31">
        <v>24</v>
      </c>
      <c r="EX5" s="32">
        <v>24</v>
      </c>
      <c r="EY5" s="30">
        <v>25</v>
      </c>
      <c r="EZ5" s="31">
        <v>25</v>
      </c>
      <c r="FA5" s="31">
        <v>25</v>
      </c>
      <c r="FB5" s="32">
        <v>25</v>
      </c>
      <c r="FC5" s="30">
        <v>26</v>
      </c>
      <c r="FD5" s="31">
        <v>26</v>
      </c>
      <c r="FE5" s="31">
        <v>26</v>
      </c>
      <c r="FF5" s="32">
        <v>26</v>
      </c>
      <c r="FG5" s="30">
        <v>27</v>
      </c>
      <c r="FH5" s="31">
        <v>27</v>
      </c>
      <c r="FI5" s="31">
        <v>27</v>
      </c>
      <c r="FJ5" s="32">
        <v>27</v>
      </c>
      <c r="FK5" s="30">
        <v>28</v>
      </c>
      <c r="FL5" s="31">
        <v>28</v>
      </c>
      <c r="FM5" s="31">
        <v>28</v>
      </c>
      <c r="FN5" s="32">
        <v>28</v>
      </c>
      <c r="FO5" s="30">
        <v>29</v>
      </c>
      <c r="FP5" s="31">
        <v>29</v>
      </c>
      <c r="FQ5" s="31">
        <v>29</v>
      </c>
      <c r="FR5" s="32">
        <v>29</v>
      </c>
      <c r="FS5" s="30">
        <v>30</v>
      </c>
      <c r="FT5" s="31">
        <v>30</v>
      </c>
      <c r="FU5" s="31">
        <v>30</v>
      </c>
      <c r="FV5" s="32">
        <v>30</v>
      </c>
      <c r="FW5" s="30">
        <v>31</v>
      </c>
      <c r="FX5" s="31">
        <v>31</v>
      </c>
      <c r="FY5" s="31">
        <v>31</v>
      </c>
      <c r="FZ5" s="32">
        <v>31</v>
      </c>
      <c r="GA5" s="73"/>
      <c r="GB5" s="74"/>
      <c r="GC5" s="71">
        <f>COLUMN(GC7)</f>
        <v>185</v>
      </c>
      <c r="GE5" s="29"/>
      <c r="GF5" s="29"/>
      <c r="GM5" s="29"/>
      <c r="GN5" s="69">
        <f>DATE($C$5,$E$5,1)</f>
        <v>41821</v>
      </c>
      <c r="GO5" s="70" t="e">
        <f ca="1">$M$5</f>
        <v>#REF!</v>
      </c>
      <c r="GP5" s="29"/>
      <c r="GQ5" s="29"/>
      <c r="GR5" s="29"/>
      <c r="GS5" s="29"/>
      <c r="GU5" s="69">
        <f>DATE($C$5,$E$5,1)</f>
        <v>41821</v>
      </c>
      <c r="GV5" s="70" t="e">
        <f ca="1">$M$5</f>
        <v>#REF!</v>
      </c>
      <c r="HG5" s="71"/>
      <c r="HH5" s="71"/>
      <c r="HK5" s="71"/>
      <c r="HL5" s="71"/>
      <c r="HM5" s="72"/>
      <c r="HN5" s="2"/>
      <c r="HO5" s="71"/>
      <c r="HP5" s="71"/>
      <c r="HQ5" s="71"/>
      <c r="HR5" s="71"/>
      <c r="HS5" s="71">
        <f>COLUMN(HS7)</f>
        <v>227</v>
      </c>
      <c r="HT5" s="30">
        <v>1</v>
      </c>
      <c r="HU5" s="31">
        <v>1</v>
      </c>
      <c r="HV5" s="31">
        <v>1</v>
      </c>
      <c r="HW5" s="32">
        <v>1</v>
      </c>
      <c r="HX5" s="30">
        <v>2</v>
      </c>
      <c r="HY5" s="31">
        <v>2</v>
      </c>
      <c r="HZ5" s="31">
        <v>2</v>
      </c>
      <c r="IA5" s="32">
        <v>2</v>
      </c>
      <c r="IB5" s="30">
        <v>3</v>
      </c>
      <c r="IC5" s="31">
        <v>3</v>
      </c>
      <c r="ID5" s="31">
        <v>3</v>
      </c>
      <c r="IE5" s="32">
        <v>3</v>
      </c>
      <c r="IF5" s="30">
        <v>4</v>
      </c>
      <c r="IG5" s="31">
        <v>4</v>
      </c>
      <c r="IH5" s="31">
        <v>4</v>
      </c>
      <c r="II5" s="32">
        <v>4</v>
      </c>
      <c r="IJ5" s="30">
        <v>5</v>
      </c>
      <c r="IK5" s="31">
        <v>5</v>
      </c>
      <c r="IL5" s="31">
        <v>5</v>
      </c>
      <c r="IM5" s="32">
        <v>5</v>
      </c>
      <c r="IN5" s="30">
        <v>6</v>
      </c>
      <c r="IO5" s="31">
        <v>6</v>
      </c>
      <c r="IP5" s="31">
        <v>6</v>
      </c>
      <c r="IQ5" s="32">
        <v>6</v>
      </c>
      <c r="IR5" s="30">
        <v>7</v>
      </c>
      <c r="IS5" s="31">
        <v>7</v>
      </c>
      <c r="IT5" s="31">
        <v>7</v>
      </c>
      <c r="IU5" s="32">
        <v>7</v>
      </c>
      <c r="IV5" s="30">
        <v>8</v>
      </c>
      <c r="IW5" s="31">
        <v>8</v>
      </c>
      <c r="IX5" s="31">
        <v>8</v>
      </c>
      <c r="IY5" s="32">
        <v>8</v>
      </c>
      <c r="IZ5" s="30">
        <v>9</v>
      </c>
      <c r="JA5" s="31">
        <v>9</v>
      </c>
      <c r="JB5" s="31">
        <v>9</v>
      </c>
      <c r="JC5" s="32">
        <v>9</v>
      </c>
      <c r="JD5" s="30">
        <v>10</v>
      </c>
      <c r="JE5" s="31">
        <v>10</v>
      </c>
      <c r="JF5" s="31">
        <v>10</v>
      </c>
      <c r="JG5" s="32">
        <v>10</v>
      </c>
      <c r="JH5" s="30">
        <v>11</v>
      </c>
      <c r="JI5" s="31">
        <v>11</v>
      </c>
      <c r="JJ5" s="31">
        <v>11</v>
      </c>
      <c r="JK5" s="32">
        <v>11</v>
      </c>
      <c r="JL5" s="30">
        <v>12</v>
      </c>
      <c r="JM5" s="31">
        <v>12</v>
      </c>
      <c r="JN5" s="31">
        <v>12</v>
      </c>
      <c r="JO5" s="32">
        <v>12</v>
      </c>
      <c r="JP5" s="30">
        <v>13</v>
      </c>
      <c r="JQ5" s="31">
        <v>13</v>
      </c>
      <c r="JR5" s="31">
        <v>13</v>
      </c>
      <c r="JS5" s="32">
        <v>13</v>
      </c>
      <c r="JT5" s="30">
        <v>14</v>
      </c>
      <c r="JU5" s="31">
        <v>14</v>
      </c>
      <c r="JV5" s="31">
        <v>14</v>
      </c>
      <c r="JW5" s="32">
        <v>14</v>
      </c>
      <c r="JX5" s="30">
        <v>15</v>
      </c>
      <c r="JY5" s="31">
        <v>15</v>
      </c>
      <c r="JZ5" s="31">
        <v>15</v>
      </c>
      <c r="KA5" s="32">
        <v>15</v>
      </c>
      <c r="KB5" s="30">
        <v>16</v>
      </c>
      <c r="KC5" s="31">
        <v>16</v>
      </c>
      <c r="KD5" s="31">
        <v>16</v>
      </c>
      <c r="KE5" s="32">
        <v>16</v>
      </c>
      <c r="KF5" s="30">
        <v>17</v>
      </c>
      <c r="KG5" s="31">
        <v>17</v>
      </c>
      <c r="KH5" s="31">
        <v>17</v>
      </c>
      <c r="KI5" s="32">
        <v>17</v>
      </c>
      <c r="KJ5" s="30">
        <v>18</v>
      </c>
      <c r="KK5" s="31">
        <v>18</v>
      </c>
      <c r="KL5" s="31">
        <v>18</v>
      </c>
      <c r="KM5" s="32">
        <v>18</v>
      </c>
      <c r="KN5" s="30">
        <v>19</v>
      </c>
      <c r="KO5" s="31">
        <v>19</v>
      </c>
      <c r="KP5" s="31">
        <v>19</v>
      </c>
      <c r="KQ5" s="32">
        <v>19</v>
      </c>
      <c r="KR5" s="30">
        <v>20</v>
      </c>
      <c r="KS5" s="31">
        <v>20</v>
      </c>
      <c r="KT5" s="31">
        <v>20</v>
      </c>
      <c r="KU5" s="32">
        <v>20</v>
      </c>
      <c r="KV5" s="30">
        <v>21</v>
      </c>
      <c r="KW5" s="31">
        <v>21</v>
      </c>
      <c r="KX5" s="31">
        <v>21</v>
      </c>
      <c r="KY5" s="32">
        <v>21</v>
      </c>
      <c r="KZ5" s="30">
        <v>22</v>
      </c>
      <c r="LA5" s="31">
        <v>22</v>
      </c>
      <c r="LB5" s="31">
        <v>22</v>
      </c>
      <c r="LC5" s="32">
        <v>22</v>
      </c>
      <c r="LD5" s="30">
        <v>23</v>
      </c>
      <c r="LE5" s="31">
        <v>23</v>
      </c>
      <c r="LF5" s="31">
        <v>23</v>
      </c>
      <c r="LG5" s="32">
        <v>23</v>
      </c>
      <c r="LH5" s="30">
        <v>24</v>
      </c>
      <c r="LI5" s="31">
        <v>24</v>
      </c>
      <c r="LJ5" s="31">
        <v>24</v>
      </c>
      <c r="LK5" s="32">
        <v>24</v>
      </c>
      <c r="LL5" s="30">
        <v>25</v>
      </c>
      <c r="LM5" s="31">
        <v>25</v>
      </c>
      <c r="LN5" s="31">
        <v>25</v>
      </c>
      <c r="LO5" s="32">
        <v>25</v>
      </c>
      <c r="LP5" s="30">
        <v>26</v>
      </c>
      <c r="LQ5" s="31">
        <v>26</v>
      </c>
      <c r="LR5" s="31">
        <v>26</v>
      </c>
      <c r="LS5" s="32">
        <v>26</v>
      </c>
      <c r="LT5" s="30">
        <v>27</v>
      </c>
      <c r="LU5" s="31">
        <v>27</v>
      </c>
      <c r="LV5" s="31">
        <v>27</v>
      </c>
      <c r="LW5" s="32">
        <v>27</v>
      </c>
      <c r="LX5" s="30">
        <v>28</v>
      </c>
      <c r="LY5" s="31">
        <v>28</v>
      </c>
      <c r="LZ5" s="31">
        <v>28</v>
      </c>
      <c r="MA5" s="32">
        <v>28</v>
      </c>
      <c r="MB5" s="30">
        <v>29</v>
      </c>
      <c r="MC5" s="31">
        <v>29</v>
      </c>
      <c r="MD5" s="31">
        <v>29</v>
      </c>
      <c r="ME5" s="32">
        <v>29</v>
      </c>
      <c r="MF5" s="30">
        <v>30</v>
      </c>
      <c r="MG5" s="31">
        <v>30</v>
      </c>
      <c r="MH5" s="31">
        <v>30</v>
      </c>
      <c r="MI5" s="32">
        <v>30</v>
      </c>
      <c r="MJ5" s="30">
        <v>31</v>
      </c>
      <c r="MK5" s="31">
        <v>31</v>
      </c>
      <c r="ML5" s="31">
        <v>31</v>
      </c>
      <c r="MM5" s="32">
        <v>31</v>
      </c>
    </row>
    <row r="6" spans="1:352" s="66" customFormat="1" ht="14.25" customHeight="1" x14ac:dyDescent="0.25">
      <c r="A6" s="65" t="s">
        <v>322</v>
      </c>
      <c r="B6" s="65" t="s">
        <v>322</v>
      </c>
      <c r="C6" s="75"/>
      <c r="D6" s="179" t="s">
        <v>578</v>
      </c>
      <c r="E6" s="180"/>
      <c r="F6" s="181"/>
      <c r="G6" s="75"/>
      <c r="H6" s="179" t="s">
        <v>579</v>
      </c>
      <c r="I6" s="180"/>
      <c r="J6" s="180"/>
      <c r="K6" s="181"/>
      <c r="L6" s="182" t="s">
        <v>580</v>
      </c>
      <c r="M6" s="183"/>
      <c r="N6" s="183"/>
      <c r="O6" s="184"/>
      <c r="P6" s="76"/>
      <c r="Q6" s="77"/>
      <c r="R6" s="185" t="s">
        <v>375</v>
      </c>
      <c r="S6" s="186"/>
      <c r="T6" s="186"/>
      <c r="U6" s="186"/>
      <c r="V6" s="186"/>
      <c r="W6" s="186"/>
      <c r="X6" s="186"/>
      <c r="Y6" s="187"/>
      <c r="Z6" s="188" t="s">
        <v>581</v>
      </c>
      <c r="AA6" s="189"/>
      <c r="AB6" s="189"/>
      <c r="AC6" s="189"/>
      <c r="AD6" s="189"/>
      <c r="AE6" s="189"/>
      <c r="AF6" s="190"/>
      <c r="AG6" s="78" t="s">
        <v>582</v>
      </c>
      <c r="AH6" s="191" t="s">
        <v>583</v>
      </c>
      <c r="AI6" s="192"/>
      <c r="AJ6" s="192"/>
      <c r="AK6" s="192"/>
      <c r="AL6" s="193"/>
      <c r="AM6" s="171" t="s">
        <v>584</v>
      </c>
      <c r="AN6" s="172"/>
      <c r="AO6" s="172"/>
      <c r="AP6" s="172"/>
      <c r="AQ6" s="172"/>
      <c r="AR6" s="172"/>
      <c r="AS6" s="172"/>
      <c r="AT6" s="172"/>
      <c r="AU6" s="172"/>
      <c r="AV6" s="172"/>
      <c r="AW6" s="173"/>
      <c r="AX6" s="174" t="s">
        <v>585</v>
      </c>
      <c r="AY6" s="175"/>
      <c r="AZ6" s="175"/>
      <c r="BA6" s="175"/>
      <c r="BB6" s="175"/>
      <c r="BC6" s="175"/>
      <c r="BD6" s="175"/>
      <c r="BE6" s="175"/>
      <c r="BF6" s="176"/>
      <c r="BG6" s="33" t="e">
        <f ca="1">OFFSET(INDIRECT("行事历!$D$3"),4*($E$5-1)+3,BG$5-1,1,1)</f>
        <v>#REF!</v>
      </c>
      <c r="BH6" s="34" t="e">
        <f ca="1">OFFSET(INDIRECT("行事历!$D$3"),4*($E$5-1)+1,BH$5-1,1,1)</f>
        <v>#REF!</v>
      </c>
      <c r="BI6" s="35" t="e">
        <f ca="1">BG6</f>
        <v>#REF!</v>
      </c>
      <c r="BJ6" s="36" t="e">
        <f ca="1">OFFSET(INDIRECT("行事历!$D$3"),4*($E$5-1)+4,BJ$5-1,1,1)</f>
        <v>#REF!</v>
      </c>
      <c r="BK6" s="33" t="e">
        <f ca="1">OFFSET(INDIRECT("行事历!$D$3"),4*($E$5-1)+3,BK$5-1,1,1)</f>
        <v>#REF!</v>
      </c>
      <c r="BL6" s="34" t="e">
        <f ca="1">OFFSET(INDIRECT("行事历!$D$3"),4*($E$5-1)+1,BL$5-1,1,1)</f>
        <v>#REF!</v>
      </c>
      <c r="BM6" s="35" t="e">
        <f ca="1">BK6</f>
        <v>#REF!</v>
      </c>
      <c r="BN6" s="36" t="e">
        <f ca="1">OFFSET(INDIRECT("行事历!$D$3"),4*($E$5-1)+4,BN$5-1,1,1)</f>
        <v>#REF!</v>
      </c>
      <c r="BO6" s="33" t="e">
        <f ca="1">OFFSET(INDIRECT("行事历!$D$3"),4*($E$5-1)+3,BO$5-1,1,1)</f>
        <v>#REF!</v>
      </c>
      <c r="BP6" s="34" t="e">
        <f ca="1">OFFSET(INDIRECT("行事历!$D$3"),4*($E$5-1)+1,BP$5-1,1,1)</f>
        <v>#REF!</v>
      </c>
      <c r="BQ6" s="35" t="e">
        <f ca="1">BO6</f>
        <v>#REF!</v>
      </c>
      <c r="BR6" s="36" t="e">
        <f ca="1">OFFSET(INDIRECT("行事历!$D$3"),4*($E$5-1)+4,BR$5-1,1,1)</f>
        <v>#REF!</v>
      </c>
      <c r="BS6" s="33" t="e">
        <f ca="1">OFFSET(INDIRECT("行事历!$D$3"),4*($E$5-1)+3,BS$5-1,1,1)</f>
        <v>#REF!</v>
      </c>
      <c r="BT6" s="34" t="e">
        <f ca="1">OFFSET(INDIRECT("行事历!$D$3"),4*($E$5-1)+1,BT$5-1,1,1)</f>
        <v>#REF!</v>
      </c>
      <c r="BU6" s="35" t="e">
        <f ca="1">BS6</f>
        <v>#REF!</v>
      </c>
      <c r="BV6" s="36" t="e">
        <f ca="1">OFFSET(INDIRECT("行事历!$D$3"),4*($E$5-1)+4,BV$5-1,1,1)</f>
        <v>#REF!</v>
      </c>
      <c r="BW6" s="33" t="e">
        <f ca="1">OFFSET(INDIRECT("行事历!$D$3"),4*($E$5-1)+3,BW$5-1,1,1)</f>
        <v>#REF!</v>
      </c>
      <c r="BX6" s="34" t="e">
        <f ca="1">OFFSET(INDIRECT("行事历!$D$3"),4*($E$5-1)+1,BX$5-1,1,1)</f>
        <v>#REF!</v>
      </c>
      <c r="BY6" s="35" t="e">
        <f ca="1">BW6</f>
        <v>#REF!</v>
      </c>
      <c r="BZ6" s="36" t="e">
        <f ca="1">OFFSET(INDIRECT("行事历!$D$3"),4*($E$5-1)+4,BZ$5-1,1,1)</f>
        <v>#REF!</v>
      </c>
      <c r="CA6" s="33" t="e">
        <f ca="1">OFFSET(INDIRECT("行事历!$D$3"),4*($E$5-1)+3,CA$5-1,1,1)</f>
        <v>#REF!</v>
      </c>
      <c r="CB6" s="34" t="e">
        <f ca="1">OFFSET(INDIRECT("行事历!$D$3"),4*($E$5-1)+1,CB$5-1,1,1)</f>
        <v>#REF!</v>
      </c>
      <c r="CC6" s="35" t="e">
        <f ca="1">CA6</f>
        <v>#REF!</v>
      </c>
      <c r="CD6" s="36" t="e">
        <f ca="1">OFFSET(INDIRECT("行事历!$D$3"),4*($E$5-1)+4,CD$5-1,1,1)</f>
        <v>#REF!</v>
      </c>
      <c r="CE6" s="33" t="e">
        <f ca="1">OFFSET(INDIRECT("行事历!$D$3"),4*($E$5-1)+3,CE$5-1,1,1)</f>
        <v>#REF!</v>
      </c>
      <c r="CF6" s="34" t="e">
        <f ca="1">OFFSET(INDIRECT("行事历!$D$3"),4*($E$5-1)+1,CF$5-1,1,1)</f>
        <v>#REF!</v>
      </c>
      <c r="CG6" s="35" t="e">
        <f ca="1">CE6</f>
        <v>#REF!</v>
      </c>
      <c r="CH6" s="36" t="e">
        <f ca="1">OFFSET(INDIRECT("行事历!$D$3"),4*($E$5-1)+4,CH$5-1,1,1)</f>
        <v>#REF!</v>
      </c>
      <c r="CI6" s="33" t="e">
        <f ca="1">OFFSET(INDIRECT("行事历!$D$3"),4*($E$5-1)+3,CI$5-1,1,1)</f>
        <v>#REF!</v>
      </c>
      <c r="CJ6" s="34" t="e">
        <f ca="1">OFFSET(INDIRECT("行事历!$D$3"),4*($E$5-1)+1,CJ$5-1,1,1)</f>
        <v>#REF!</v>
      </c>
      <c r="CK6" s="35" t="e">
        <f ca="1">CI6</f>
        <v>#REF!</v>
      </c>
      <c r="CL6" s="36" t="e">
        <f ca="1">OFFSET(INDIRECT("行事历!$D$3"),4*($E$5-1)+4,CL$5-1,1,1)</f>
        <v>#REF!</v>
      </c>
      <c r="CM6" s="33" t="e">
        <f ca="1">OFFSET(INDIRECT("行事历!$D$3"),4*($E$5-1)+3,CM$5-1,1,1)</f>
        <v>#REF!</v>
      </c>
      <c r="CN6" s="34" t="e">
        <f ca="1">OFFSET(INDIRECT("行事历!$D$3"),4*($E$5-1)+1,CN$5-1,1,1)</f>
        <v>#REF!</v>
      </c>
      <c r="CO6" s="35" t="e">
        <f ca="1">CM6</f>
        <v>#REF!</v>
      </c>
      <c r="CP6" s="36" t="e">
        <f ca="1">OFFSET(INDIRECT("行事历!$D$3"),4*($E$5-1)+4,CP$5-1,1,1)</f>
        <v>#REF!</v>
      </c>
      <c r="CQ6" s="33" t="e">
        <f ca="1">OFFSET(INDIRECT("行事历!$D$3"),4*($E$5-1)+3,CQ$5-1,1,1)</f>
        <v>#REF!</v>
      </c>
      <c r="CR6" s="34" t="e">
        <f ca="1">OFFSET(INDIRECT("行事历!$D$3"),4*($E$5-1)+1,CR$5-1,1,1)</f>
        <v>#REF!</v>
      </c>
      <c r="CS6" s="35" t="e">
        <f ca="1">CQ6</f>
        <v>#REF!</v>
      </c>
      <c r="CT6" s="36" t="e">
        <f ca="1">OFFSET(INDIRECT("行事历!$D$3"),4*($E$5-1)+4,CT$5-1,1,1)</f>
        <v>#REF!</v>
      </c>
      <c r="CU6" s="33" t="e">
        <f ca="1">OFFSET(INDIRECT("行事历!$D$3"),4*($E$5-1)+3,CU$5-1,1,1)</f>
        <v>#REF!</v>
      </c>
      <c r="CV6" s="34" t="e">
        <f ca="1">OFFSET(INDIRECT("行事历!$D$3"),4*($E$5-1)+1,CV$5-1,1,1)</f>
        <v>#REF!</v>
      </c>
      <c r="CW6" s="35" t="e">
        <f ca="1">CU6</f>
        <v>#REF!</v>
      </c>
      <c r="CX6" s="36" t="e">
        <f ca="1">OFFSET(INDIRECT("行事历!$D$3"),4*($E$5-1)+4,CX$5-1,1,1)</f>
        <v>#REF!</v>
      </c>
      <c r="CY6" s="33" t="e">
        <f ca="1">OFFSET(INDIRECT("行事历!$D$3"),4*($E$5-1)+3,CY$5-1,1,1)</f>
        <v>#REF!</v>
      </c>
      <c r="CZ6" s="34" t="e">
        <f ca="1">OFFSET(INDIRECT("行事历!$D$3"),4*($E$5-1)+1,CZ$5-1,1,1)</f>
        <v>#REF!</v>
      </c>
      <c r="DA6" s="35" t="e">
        <f ca="1">CY6</f>
        <v>#REF!</v>
      </c>
      <c r="DB6" s="36" t="e">
        <f ca="1">OFFSET(INDIRECT("行事历!$D$3"),4*($E$5-1)+4,DB$5-1,1,1)</f>
        <v>#REF!</v>
      </c>
      <c r="DC6" s="33" t="e">
        <f ca="1">OFFSET(INDIRECT("行事历!$D$3"),4*($E$5-1)+3,DC$5-1,1,1)</f>
        <v>#REF!</v>
      </c>
      <c r="DD6" s="34" t="e">
        <f ca="1">OFFSET(INDIRECT("行事历!$D$3"),4*($E$5-1)+1,DD$5-1,1,1)</f>
        <v>#REF!</v>
      </c>
      <c r="DE6" s="35" t="e">
        <f ca="1">DC6</f>
        <v>#REF!</v>
      </c>
      <c r="DF6" s="36" t="e">
        <f ca="1">OFFSET(INDIRECT("行事历!$D$3"),4*($E$5-1)+4,DF$5-1,1,1)</f>
        <v>#REF!</v>
      </c>
      <c r="DG6" s="33" t="e">
        <f ca="1">OFFSET(INDIRECT("行事历!$D$3"),4*($E$5-1)+3,DG$5-1,1,1)</f>
        <v>#REF!</v>
      </c>
      <c r="DH6" s="34" t="e">
        <f ca="1">OFFSET(INDIRECT("行事历!$D$3"),4*($E$5-1)+1,DH$5-1,1,1)</f>
        <v>#REF!</v>
      </c>
      <c r="DI6" s="35" t="e">
        <f ca="1">DG6</f>
        <v>#REF!</v>
      </c>
      <c r="DJ6" s="36" t="e">
        <f ca="1">OFFSET(INDIRECT("行事历!$D$3"),4*($E$5-1)+4,DJ$5-1,1,1)</f>
        <v>#REF!</v>
      </c>
      <c r="DK6" s="33" t="e">
        <f ca="1">OFFSET(INDIRECT("行事历!$D$3"),4*($E$5-1)+3,DK$5-1,1,1)</f>
        <v>#REF!</v>
      </c>
      <c r="DL6" s="34" t="e">
        <f ca="1">OFFSET(INDIRECT("行事历!$D$3"),4*($E$5-1)+1,DL$5-1,1,1)</f>
        <v>#REF!</v>
      </c>
      <c r="DM6" s="35" t="e">
        <f ca="1">DK6</f>
        <v>#REF!</v>
      </c>
      <c r="DN6" s="36" t="e">
        <f ca="1">OFFSET(INDIRECT("行事历!$D$3"),4*($E$5-1)+4,DN$5-1,1,1)</f>
        <v>#REF!</v>
      </c>
      <c r="DO6" s="33" t="e">
        <f ca="1">OFFSET(INDIRECT("行事历!$D$3"),4*($E$5-1)+3,DO$5-1,1,1)</f>
        <v>#REF!</v>
      </c>
      <c r="DP6" s="34" t="e">
        <f ca="1">OFFSET(INDIRECT("行事历!$D$3"),4*($E$5-1)+1,DP$5-1,1,1)</f>
        <v>#REF!</v>
      </c>
      <c r="DQ6" s="35" t="e">
        <f ca="1">DO6</f>
        <v>#REF!</v>
      </c>
      <c r="DR6" s="36" t="e">
        <f ca="1">OFFSET(INDIRECT("行事历!$D$3"),4*($E$5-1)+4,DR$5-1,1,1)</f>
        <v>#REF!</v>
      </c>
      <c r="DS6" s="33" t="e">
        <f ca="1">OFFSET(INDIRECT("行事历!$D$3"),4*($E$5-1)+3,DS$5-1,1,1)</f>
        <v>#REF!</v>
      </c>
      <c r="DT6" s="34" t="e">
        <f ca="1">OFFSET(INDIRECT("行事历!$D$3"),4*($E$5-1)+1,DT$5-1,1,1)</f>
        <v>#REF!</v>
      </c>
      <c r="DU6" s="35" t="e">
        <f ca="1">DS6</f>
        <v>#REF!</v>
      </c>
      <c r="DV6" s="36" t="e">
        <f ca="1">OFFSET(INDIRECT("行事历!$D$3"),4*($E$5-1)+4,DV$5-1,1,1)</f>
        <v>#REF!</v>
      </c>
      <c r="DW6" s="33" t="e">
        <f ca="1">OFFSET(INDIRECT("行事历!$D$3"),4*($E$5-1)+3,DW$5-1,1,1)</f>
        <v>#REF!</v>
      </c>
      <c r="DX6" s="34" t="e">
        <f ca="1">OFFSET(INDIRECT("行事历!$D$3"),4*($E$5-1)+1,DX$5-1,1,1)</f>
        <v>#REF!</v>
      </c>
      <c r="DY6" s="35" t="e">
        <f ca="1">DW6</f>
        <v>#REF!</v>
      </c>
      <c r="DZ6" s="36" t="e">
        <f ca="1">OFFSET(INDIRECT("行事历!$D$3"),4*($E$5-1)+4,DZ$5-1,1,1)</f>
        <v>#REF!</v>
      </c>
      <c r="EA6" s="33" t="e">
        <f ca="1">OFFSET(INDIRECT("行事历!$D$3"),4*($E$5-1)+3,EA$5-1,1,1)</f>
        <v>#REF!</v>
      </c>
      <c r="EB6" s="34" t="e">
        <f ca="1">OFFSET(INDIRECT("行事历!$D$3"),4*($E$5-1)+1,EB$5-1,1,1)</f>
        <v>#REF!</v>
      </c>
      <c r="EC6" s="35" t="e">
        <f ca="1">EA6</f>
        <v>#REF!</v>
      </c>
      <c r="ED6" s="36" t="e">
        <f ca="1">OFFSET(INDIRECT("行事历!$D$3"),4*($E$5-1)+4,ED$5-1,1,1)</f>
        <v>#REF!</v>
      </c>
      <c r="EE6" s="33" t="e">
        <f ca="1">OFFSET(INDIRECT("行事历!$D$3"),4*($E$5-1)+3,EE$5-1,1,1)</f>
        <v>#REF!</v>
      </c>
      <c r="EF6" s="34" t="e">
        <f ca="1">OFFSET(INDIRECT("行事历!$D$3"),4*($E$5-1)+1,EF$5-1,1,1)</f>
        <v>#REF!</v>
      </c>
      <c r="EG6" s="35" t="e">
        <f ca="1">EE6</f>
        <v>#REF!</v>
      </c>
      <c r="EH6" s="36" t="e">
        <f ca="1">OFFSET(INDIRECT("行事历!$D$3"),4*($E$5-1)+4,EH$5-1,1,1)</f>
        <v>#REF!</v>
      </c>
      <c r="EI6" s="33" t="e">
        <f ca="1">OFFSET(INDIRECT("行事历!$D$3"),4*($E$5-1)+3,EI$5-1,1,1)</f>
        <v>#REF!</v>
      </c>
      <c r="EJ6" s="34" t="e">
        <f ca="1">OFFSET(INDIRECT("行事历!$D$3"),4*($E$5-1)+1,EJ$5-1,1,1)</f>
        <v>#REF!</v>
      </c>
      <c r="EK6" s="35" t="e">
        <f ca="1">EI6</f>
        <v>#REF!</v>
      </c>
      <c r="EL6" s="36" t="e">
        <f ca="1">OFFSET(INDIRECT("行事历!$D$3"),4*($E$5-1)+4,EL$5-1,1,1)</f>
        <v>#REF!</v>
      </c>
      <c r="EM6" s="33" t="e">
        <f ca="1">OFFSET(INDIRECT("行事历!$D$3"),4*($E$5-1)+3,EM$5-1,1,1)</f>
        <v>#REF!</v>
      </c>
      <c r="EN6" s="34" t="e">
        <f ca="1">OFFSET(INDIRECT("行事历!$D$3"),4*($E$5-1)+1,EN$5-1,1,1)</f>
        <v>#REF!</v>
      </c>
      <c r="EO6" s="35" t="e">
        <f ca="1">EM6</f>
        <v>#REF!</v>
      </c>
      <c r="EP6" s="36" t="e">
        <f ca="1">OFFSET(INDIRECT("行事历!$D$3"),4*($E$5-1)+4,EP$5-1,1,1)</f>
        <v>#REF!</v>
      </c>
      <c r="EQ6" s="33" t="e">
        <f ca="1">OFFSET(INDIRECT("行事历!$D$3"),4*($E$5-1)+3,EQ$5-1,1,1)</f>
        <v>#REF!</v>
      </c>
      <c r="ER6" s="34" t="e">
        <f ca="1">OFFSET(INDIRECT("行事历!$D$3"),4*($E$5-1)+1,ER$5-1,1,1)</f>
        <v>#REF!</v>
      </c>
      <c r="ES6" s="35" t="e">
        <f ca="1">EQ6</f>
        <v>#REF!</v>
      </c>
      <c r="ET6" s="36" t="e">
        <f ca="1">OFFSET(INDIRECT("行事历!$D$3"),4*($E$5-1)+4,ET$5-1,1,1)</f>
        <v>#REF!</v>
      </c>
      <c r="EU6" s="33" t="e">
        <f ca="1">OFFSET(INDIRECT("行事历!$D$3"),4*($E$5-1)+3,EU$5-1,1,1)</f>
        <v>#REF!</v>
      </c>
      <c r="EV6" s="34" t="e">
        <f ca="1">OFFSET(INDIRECT("行事历!$D$3"),4*($E$5-1)+1,EV$5-1,1,1)</f>
        <v>#REF!</v>
      </c>
      <c r="EW6" s="35" t="e">
        <f ca="1">EU6</f>
        <v>#REF!</v>
      </c>
      <c r="EX6" s="36" t="e">
        <f ca="1">OFFSET(INDIRECT("行事历!$D$3"),4*($E$5-1)+4,EX$5-1,1,1)</f>
        <v>#REF!</v>
      </c>
      <c r="EY6" s="33" t="e">
        <f ca="1">OFFSET(INDIRECT("行事历!$D$3"),4*($E$5-1)+3,EY$5-1,1,1)</f>
        <v>#REF!</v>
      </c>
      <c r="EZ6" s="34" t="e">
        <f ca="1">OFFSET(INDIRECT("行事历!$D$3"),4*($E$5-1)+1,EZ$5-1,1,1)</f>
        <v>#REF!</v>
      </c>
      <c r="FA6" s="35" t="e">
        <f ca="1">EY6</f>
        <v>#REF!</v>
      </c>
      <c r="FB6" s="36" t="e">
        <f ca="1">OFFSET(INDIRECT("行事历!$D$3"),4*($E$5-1)+4,FB$5-1,1,1)</f>
        <v>#REF!</v>
      </c>
      <c r="FC6" s="33" t="e">
        <f ca="1">OFFSET(INDIRECT("行事历!$D$3"),4*($E$5-1)+3,FC$5-1,1,1)</f>
        <v>#REF!</v>
      </c>
      <c r="FD6" s="34" t="e">
        <f ca="1">OFFSET(INDIRECT("行事历!$D$3"),4*($E$5-1)+1,FD$5-1,1,1)</f>
        <v>#REF!</v>
      </c>
      <c r="FE6" s="35" t="e">
        <f ca="1">FC6</f>
        <v>#REF!</v>
      </c>
      <c r="FF6" s="36" t="e">
        <f ca="1">OFFSET(INDIRECT("行事历!$D$3"),4*($E$5-1)+4,FF$5-1,1,1)</f>
        <v>#REF!</v>
      </c>
      <c r="FG6" s="33" t="e">
        <f ca="1">OFFSET(INDIRECT("行事历!$D$3"),4*($E$5-1)+3,FG$5-1,1,1)</f>
        <v>#REF!</v>
      </c>
      <c r="FH6" s="34" t="e">
        <f ca="1">OFFSET(INDIRECT("行事历!$D$3"),4*($E$5-1)+1,FH$5-1,1,1)</f>
        <v>#REF!</v>
      </c>
      <c r="FI6" s="35" t="e">
        <f ca="1">FG6</f>
        <v>#REF!</v>
      </c>
      <c r="FJ6" s="36" t="e">
        <f ca="1">OFFSET(INDIRECT("行事历!$D$3"),4*($E$5-1)+4,FJ$5-1,1,1)</f>
        <v>#REF!</v>
      </c>
      <c r="FK6" s="33" t="e">
        <f ca="1">OFFSET(INDIRECT("行事历!$D$3"),4*($E$5-1)+3,FK$5-1,1,1)</f>
        <v>#REF!</v>
      </c>
      <c r="FL6" s="34" t="e">
        <f ca="1">OFFSET(INDIRECT("行事历!$D$3"),4*($E$5-1)+1,FL$5-1,1,1)</f>
        <v>#REF!</v>
      </c>
      <c r="FM6" s="35" t="e">
        <f ca="1">FK6</f>
        <v>#REF!</v>
      </c>
      <c r="FN6" s="36" t="e">
        <f ca="1">OFFSET(INDIRECT("行事历!$D$3"),4*($E$5-1)+4,FN$5-1,1,1)</f>
        <v>#REF!</v>
      </c>
      <c r="FO6" s="33" t="e">
        <f ca="1">OFFSET(INDIRECT("行事历!$D$3"),4*($E$5-1)+3,FO$5-1,1,1)</f>
        <v>#REF!</v>
      </c>
      <c r="FP6" s="34" t="e">
        <f ca="1">OFFSET(INDIRECT("行事历!$D$3"),4*($E$5-1)+1,FP$5-1,1,1)</f>
        <v>#REF!</v>
      </c>
      <c r="FQ6" s="35" t="e">
        <f ca="1">FO6</f>
        <v>#REF!</v>
      </c>
      <c r="FR6" s="36" t="e">
        <f ca="1">OFFSET(INDIRECT("行事历!$D$3"),4*($E$5-1)+4,FR$5-1,1,1)</f>
        <v>#REF!</v>
      </c>
      <c r="FS6" s="33" t="e">
        <f ca="1">OFFSET(INDIRECT("行事历!$D$3"),4*($E$5-1)+3,FS$5-1,1,1)</f>
        <v>#REF!</v>
      </c>
      <c r="FT6" s="34" t="e">
        <f ca="1">OFFSET(INDIRECT("行事历!$D$3"),4*($E$5-1)+1,FT$5-1,1,1)</f>
        <v>#REF!</v>
      </c>
      <c r="FU6" s="35" t="e">
        <f ca="1">FS6</f>
        <v>#REF!</v>
      </c>
      <c r="FV6" s="36" t="e">
        <f ca="1">OFFSET(INDIRECT("行事历!$D$3"),4*($E$5-1)+4,FV$5-1,1,1)</f>
        <v>#REF!</v>
      </c>
      <c r="FW6" s="33" t="e">
        <f ca="1">OFFSET(INDIRECT("行事历!$D$3"),4*($E$5-1)+3,FW$5-1,1,1)</f>
        <v>#REF!</v>
      </c>
      <c r="FX6" s="34" t="e">
        <f ca="1">OFFSET(INDIRECT("行事历!$D$3"),4*($E$5-1)+1,FX$5-1,1,1)</f>
        <v>#REF!</v>
      </c>
      <c r="FY6" s="35" t="e">
        <f ca="1">FW6</f>
        <v>#REF!</v>
      </c>
      <c r="FZ6" s="36" t="e">
        <f ca="1">OFFSET(INDIRECT("行事历!$D$3"),4*($E$5-1)+4,FZ$5-1,1,1)</f>
        <v>#REF!</v>
      </c>
      <c r="GA6" s="194" t="s">
        <v>586</v>
      </c>
      <c r="GB6" s="79"/>
      <c r="GC6" s="76"/>
      <c r="GD6" s="77"/>
      <c r="GE6" s="185" t="s">
        <v>375</v>
      </c>
      <c r="GF6" s="186"/>
      <c r="GG6" s="186"/>
      <c r="GH6" s="186"/>
      <c r="GI6" s="186"/>
      <c r="GJ6" s="186"/>
      <c r="GK6" s="186"/>
      <c r="GL6" s="187"/>
      <c r="GM6" s="188" t="s">
        <v>587</v>
      </c>
      <c r="GN6" s="189"/>
      <c r="GO6" s="189"/>
      <c r="GP6" s="189"/>
      <c r="GQ6" s="189"/>
      <c r="GR6" s="189"/>
      <c r="GS6" s="190"/>
      <c r="GT6" s="78" t="s">
        <v>588</v>
      </c>
      <c r="GU6" s="191" t="s">
        <v>589</v>
      </c>
      <c r="GV6" s="192"/>
      <c r="GW6" s="192"/>
      <c r="GX6" s="192"/>
      <c r="GY6" s="193"/>
      <c r="GZ6" s="171" t="s">
        <v>590</v>
      </c>
      <c r="HA6" s="172"/>
      <c r="HB6" s="172"/>
      <c r="HC6" s="172"/>
      <c r="HD6" s="172"/>
      <c r="HE6" s="172"/>
      <c r="HF6" s="172"/>
      <c r="HG6" s="172"/>
      <c r="HH6" s="172"/>
      <c r="HI6" s="172"/>
      <c r="HJ6" s="173"/>
      <c r="HK6" s="174" t="s">
        <v>591</v>
      </c>
      <c r="HL6" s="175"/>
      <c r="HM6" s="175"/>
      <c r="HN6" s="175"/>
      <c r="HO6" s="175"/>
      <c r="HP6" s="175"/>
      <c r="HQ6" s="175"/>
      <c r="HR6" s="175"/>
      <c r="HS6" s="176"/>
      <c r="HT6" s="33" t="e">
        <f ca="1">OFFSET(INDIRECT("行事历!$D$3"),4*($E$5-1)+3,HT$5-1,1,1)</f>
        <v>#REF!</v>
      </c>
      <c r="HU6" s="34" t="e">
        <f ca="1">OFFSET(INDIRECT("行事历!$D$3"),4*($E$5-1)+1,HU$5-1,1,1)</f>
        <v>#REF!</v>
      </c>
      <c r="HV6" s="35" t="e">
        <f ca="1">HT6</f>
        <v>#REF!</v>
      </c>
      <c r="HW6" s="36" t="e">
        <f ca="1">OFFSET(INDIRECT("行事历!$D$3"),4*($E$5-1)+4,HW$5-1,1,1)</f>
        <v>#REF!</v>
      </c>
      <c r="HX6" s="33" t="e">
        <f ca="1">OFFSET(INDIRECT("行事历!$D$3"),4*($E$5-1)+3,HX$5-1,1,1)</f>
        <v>#REF!</v>
      </c>
      <c r="HY6" s="34" t="e">
        <f ca="1">OFFSET(INDIRECT("行事历!$D$3"),4*($E$5-1)+1,HY$5-1,1,1)</f>
        <v>#REF!</v>
      </c>
      <c r="HZ6" s="35" t="e">
        <f ca="1">HX6</f>
        <v>#REF!</v>
      </c>
      <c r="IA6" s="36" t="e">
        <f ca="1">OFFSET(INDIRECT("行事历!$D$3"),4*($E$5-1)+4,IA$5-1,1,1)</f>
        <v>#REF!</v>
      </c>
      <c r="IB6" s="33" t="e">
        <f ca="1">OFFSET(INDIRECT("行事历!$D$3"),4*($E$5-1)+3,IB$5-1,1,1)</f>
        <v>#REF!</v>
      </c>
      <c r="IC6" s="34" t="e">
        <f ca="1">OFFSET(INDIRECT("行事历!$D$3"),4*($E$5-1)+1,IC$5-1,1,1)</f>
        <v>#REF!</v>
      </c>
      <c r="ID6" s="35" t="e">
        <f ca="1">IB6</f>
        <v>#REF!</v>
      </c>
      <c r="IE6" s="36" t="e">
        <f ca="1">OFFSET(INDIRECT("行事历!$D$3"),4*($E$5-1)+4,IE$5-1,1,1)</f>
        <v>#REF!</v>
      </c>
      <c r="IF6" s="33" t="e">
        <f ca="1">OFFSET(INDIRECT("行事历!$D$3"),4*($E$5-1)+3,IF$5-1,1,1)</f>
        <v>#REF!</v>
      </c>
      <c r="IG6" s="34" t="e">
        <f ca="1">OFFSET(INDIRECT("行事历!$D$3"),4*($E$5-1)+1,IG$5-1,1,1)</f>
        <v>#REF!</v>
      </c>
      <c r="IH6" s="35" t="e">
        <f ca="1">IF6</f>
        <v>#REF!</v>
      </c>
      <c r="II6" s="36" t="e">
        <f ca="1">OFFSET(INDIRECT("行事历!$D$3"),4*($E$5-1)+4,II$5-1,1,1)</f>
        <v>#REF!</v>
      </c>
      <c r="IJ6" s="33" t="e">
        <f ca="1">OFFSET(INDIRECT("行事历!$D$3"),4*($E$5-1)+3,IJ$5-1,1,1)</f>
        <v>#REF!</v>
      </c>
      <c r="IK6" s="34" t="e">
        <f ca="1">OFFSET(INDIRECT("行事历!$D$3"),4*($E$5-1)+1,IK$5-1,1,1)</f>
        <v>#REF!</v>
      </c>
      <c r="IL6" s="35" t="e">
        <f ca="1">IJ6</f>
        <v>#REF!</v>
      </c>
      <c r="IM6" s="36" t="e">
        <f ca="1">OFFSET(INDIRECT("行事历!$D$3"),4*($E$5-1)+4,IM$5-1,1,1)</f>
        <v>#REF!</v>
      </c>
      <c r="IN6" s="33" t="e">
        <f ca="1">OFFSET(INDIRECT("行事历!$D$3"),4*($E$5-1)+3,IN$5-1,1,1)</f>
        <v>#REF!</v>
      </c>
      <c r="IO6" s="34" t="e">
        <f ca="1">OFFSET(INDIRECT("行事历!$D$3"),4*($E$5-1)+1,IO$5-1,1,1)</f>
        <v>#REF!</v>
      </c>
      <c r="IP6" s="35" t="e">
        <f ca="1">IN6</f>
        <v>#REF!</v>
      </c>
      <c r="IQ6" s="36" t="e">
        <f ca="1">OFFSET(INDIRECT("行事历!$D$3"),4*($E$5-1)+4,IQ$5-1,1,1)</f>
        <v>#REF!</v>
      </c>
      <c r="IR6" s="33" t="e">
        <f ca="1">OFFSET(INDIRECT("行事历!$D$3"),4*($E$5-1)+3,IR$5-1,1,1)</f>
        <v>#REF!</v>
      </c>
      <c r="IS6" s="34" t="e">
        <f ca="1">OFFSET(INDIRECT("行事历!$D$3"),4*($E$5-1)+1,IS$5-1,1,1)</f>
        <v>#REF!</v>
      </c>
      <c r="IT6" s="35" t="e">
        <f ca="1">IR6</f>
        <v>#REF!</v>
      </c>
      <c r="IU6" s="36" t="e">
        <f ca="1">OFFSET(INDIRECT("行事历!$D$3"),4*($E$5-1)+4,IU$5-1,1,1)</f>
        <v>#REF!</v>
      </c>
      <c r="IV6" s="33" t="e">
        <f ca="1">OFFSET(INDIRECT("行事历!$D$3"),4*($E$5-1)+3,IV$5-1,1,1)</f>
        <v>#REF!</v>
      </c>
      <c r="IW6" s="34" t="e">
        <f ca="1">OFFSET(INDIRECT("行事历!$D$3"),4*($E$5-1)+1,IW$5-1,1,1)</f>
        <v>#REF!</v>
      </c>
      <c r="IX6" s="35" t="e">
        <f ca="1">IV6</f>
        <v>#REF!</v>
      </c>
      <c r="IY6" s="36" t="e">
        <f ca="1">OFFSET(INDIRECT("行事历!$D$3"),4*($E$5-1)+4,IY$5-1,1,1)</f>
        <v>#REF!</v>
      </c>
      <c r="IZ6" s="33" t="e">
        <f ca="1">OFFSET(INDIRECT("行事历!$D$3"),4*($E$5-1)+3,IZ$5-1,1,1)</f>
        <v>#REF!</v>
      </c>
      <c r="JA6" s="34" t="e">
        <f ca="1">OFFSET(INDIRECT("行事历!$D$3"),4*($E$5-1)+1,JA$5-1,1,1)</f>
        <v>#REF!</v>
      </c>
      <c r="JB6" s="35" t="e">
        <f ca="1">IZ6</f>
        <v>#REF!</v>
      </c>
      <c r="JC6" s="36" t="e">
        <f ca="1">OFFSET(INDIRECT("行事历!$D$3"),4*($E$5-1)+4,JC$5-1,1,1)</f>
        <v>#REF!</v>
      </c>
      <c r="JD6" s="33" t="e">
        <f ca="1">OFFSET(INDIRECT("行事历!$D$3"),4*($E$5-1)+3,JD$5-1,1,1)</f>
        <v>#REF!</v>
      </c>
      <c r="JE6" s="34" t="e">
        <f ca="1">OFFSET(INDIRECT("行事历!$D$3"),4*($E$5-1)+1,JE$5-1,1,1)</f>
        <v>#REF!</v>
      </c>
      <c r="JF6" s="35" t="e">
        <f ca="1">JD6</f>
        <v>#REF!</v>
      </c>
      <c r="JG6" s="36" t="e">
        <f ca="1">OFFSET(INDIRECT("行事历!$D$3"),4*($E$5-1)+4,JG$5-1,1,1)</f>
        <v>#REF!</v>
      </c>
      <c r="JH6" s="33" t="e">
        <f ca="1">OFFSET(INDIRECT("行事历!$D$3"),4*($E$5-1)+3,JH$5-1,1,1)</f>
        <v>#REF!</v>
      </c>
      <c r="JI6" s="34" t="e">
        <f ca="1">OFFSET(INDIRECT("行事历!$D$3"),4*($E$5-1)+1,JI$5-1,1,1)</f>
        <v>#REF!</v>
      </c>
      <c r="JJ6" s="35" t="e">
        <f ca="1">JH6</f>
        <v>#REF!</v>
      </c>
      <c r="JK6" s="36" t="e">
        <f ca="1">OFFSET(INDIRECT("行事历!$D$3"),4*($E$5-1)+4,JK$5-1,1,1)</f>
        <v>#REF!</v>
      </c>
      <c r="JL6" s="33" t="e">
        <f ca="1">OFFSET(INDIRECT("行事历!$D$3"),4*($E$5-1)+3,JL$5-1,1,1)</f>
        <v>#REF!</v>
      </c>
      <c r="JM6" s="34" t="e">
        <f ca="1">OFFSET(INDIRECT("行事历!$D$3"),4*($E$5-1)+1,JM$5-1,1,1)</f>
        <v>#REF!</v>
      </c>
      <c r="JN6" s="35" t="e">
        <f ca="1">JL6</f>
        <v>#REF!</v>
      </c>
      <c r="JO6" s="36" t="e">
        <f ca="1">OFFSET(INDIRECT("行事历!$D$3"),4*($E$5-1)+4,JO$5-1,1,1)</f>
        <v>#REF!</v>
      </c>
      <c r="JP6" s="33" t="e">
        <f ca="1">OFFSET(INDIRECT("行事历!$D$3"),4*($E$5-1)+3,JP$5-1,1,1)</f>
        <v>#REF!</v>
      </c>
      <c r="JQ6" s="34" t="e">
        <f ca="1">OFFSET(INDIRECT("行事历!$D$3"),4*($E$5-1)+1,JQ$5-1,1,1)</f>
        <v>#REF!</v>
      </c>
      <c r="JR6" s="35" t="e">
        <f ca="1">JP6</f>
        <v>#REF!</v>
      </c>
      <c r="JS6" s="36" t="e">
        <f ca="1">OFFSET(INDIRECT("行事历!$D$3"),4*($E$5-1)+4,JS$5-1,1,1)</f>
        <v>#REF!</v>
      </c>
      <c r="JT6" s="33" t="e">
        <f ca="1">OFFSET(INDIRECT("行事历!$D$3"),4*($E$5-1)+3,JT$5-1,1,1)</f>
        <v>#REF!</v>
      </c>
      <c r="JU6" s="34" t="e">
        <f ca="1">OFFSET(INDIRECT("行事历!$D$3"),4*($E$5-1)+1,JU$5-1,1,1)</f>
        <v>#REF!</v>
      </c>
      <c r="JV6" s="35" t="e">
        <f ca="1">JT6</f>
        <v>#REF!</v>
      </c>
      <c r="JW6" s="36" t="e">
        <f ca="1">OFFSET(INDIRECT("行事历!$D$3"),4*($E$5-1)+4,JW$5-1,1,1)</f>
        <v>#REF!</v>
      </c>
      <c r="JX6" s="33" t="e">
        <f ca="1">OFFSET(INDIRECT("行事历!$D$3"),4*($E$5-1)+3,JX$5-1,1,1)</f>
        <v>#REF!</v>
      </c>
      <c r="JY6" s="34" t="e">
        <f ca="1">OFFSET(INDIRECT("行事历!$D$3"),4*($E$5-1)+1,JY$5-1,1,1)</f>
        <v>#REF!</v>
      </c>
      <c r="JZ6" s="35" t="e">
        <f ca="1">JX6</f>
        <v>#REF!</v>
      </c>
      <c r="KA6" s="36" t="e">
        <f ca="1">OFFSET(INDIRECT("行事历!$D$3"),4*($E$5-1)+4,KA$5-1,1,1)</f>
        <v>#REF!</v>
      </c>
      <c r="KB6" s="33" t="e">
        <f ca="1">OFFSET(INDIRECT("行事历!$D$3"),4*($E$5-1)+3,KB$5-1,1,1)</f>
        <v>#REF!</v>
      </c>
      <c r="KC6" s="34" t="e">
        <f ca="1">OFFSET(INDIRECT("行事历!$D$3"),4*($E$5-1)+1,KC$5-1,1,1)</f>
        <v>#REF!</v>
      </c>
      <c r="KD6" s="35" t="e">
        <f ca="1">KB6</f>
        <v>#REF!</v>
      </c>
      <c r="KE6" s="36" t="e">
        <f ca="1">OFFSET(INDIRECT("行事历!$D$3"),4*($E$5-1)+4,KE$5-1,1,1)</f>
        <v>#REF!</v>
      </c>
      <c r="KF6" s="33" t="e">
        <f ca="1">OFFSET(INDIRECT("行事历!$D$3"),4*($E$5-1)+3,KF$5-1,1,1)</f>
        <v>#REF!</v>
      </c>
      <c r="KG6" s="34" t="e">
        <f ca="1">OFFSET(INDIRECT("行事历!$D$3"),4*($E$5-1)+1,KG$5-1,1,1)</f>
        <v>#REF!</v>
      </c>
      <c r="KH6" s="35" t="e">
        <f ca="1">KF6</f>
        <v>#REF!</v>
      </c>
      <c r="KI6" s="36" t="e">
        <f ca="1">OFFSET(INDIRECT("行事历!$D$3"),4*($E$5-1)+4,KI$5-1,1,1)</f>
        <v>#REF!</v>
      </c>
      <c r="KJ6" s="33" t="e">
        <f ca="1">OFFSET(INDIRECT("行事历!$D$3"),4*($E$5-1)+3,KJ$5-1,1,1)</f>
        <v>#REF!</v>
      </c>
      <c r="KK6" s="34" t="e">
        <f ca="1">OFFSET(INDIRECT("行事历!$D$3"),4*($E$5-1)+1,KK$5-1,1,1)</f>
        <v>#REF!</v>
      </c>
      <c r="KL6" s="35" t="e">
        <f ca="1">KJ6</f>
        <v>#REF!</v>
      </c>
      <c r="KM6" s="36" t="e">
        <f ca="1">OFFSET(INDIRECT("行事历!$D$3"),4*($E$5-1)+4,KM$5-1,1,1)</f>
        <v>#REF!</v>
      </c>
      <c r="KN6" s="33" t="e">
        <f ca="1">OFFSET(INDIRECT("行事历!$D$3"),4*($E$5-1)+3,KN$5-1,1,1)</f>
        <v>#REF!</v>
      </c>
      <c r="KO6" s="34" t="e">
        <f ca="1">OFFSET(INDIRECT("行事历!$D$3"),4*($E$5-1)+1,KO$5-1,1,1)</f>
        <v>#REF!</v>
      </c>
      <c r="KP6" s="35" t="e">
        <f ca="1">KN6</f>
        <v>#REF!</v>
      </c>
      <c r="KQ6" s="36" t="e">
        <f ca="1">OFFSET(INDIRECT("行事历!$D$3"),4*($E$5-1)+4,KQ$5-1,1,1)</f>
        <v>#REF!</v>
      </c>
      <c r="KR6" s="33" t="e">
        <f ca="1">OFFSET(INDIRECT("行事历!$D$3"),4*($E$5-1)+3,KR$5-1,1,1)</f>
        <v>#REF!</v>
      </c>
      <c r="KS6" s="34" t="e">
        <f ca="1">OFFSET(INDIRECT("行事历!$D$3"),4*($E$5-1)+1,KS$5-1,1,1)</f>
        <v>#REF!</v>
      </c>
      <c r="KT6" s="35" t="e">
        <f ca="1">KR6</f>
        <v>#REF!</v>
      </c>
      <c r="KU6" s="36" t="e">
        <f ca="1">OFFSET(INDIRECT("行事历!$D$3"),4*($E$5-1)+4,KU$5-1,1,1)</f>
        <v>#REF!</v>
      </c>
      <c r="KV6" s="33" t="e">
        <f ca="1">OFFSET(INDIRECT("行事历!$D$3"),4*($E$5-1)+3,KV$5-1,1,1)</f>
        <v>#REF!</v>
      </c>
      <c r="KW6" s="34" t="e">
        <f ca="1">OFFSET(INDIRECT("行事历!$D$3"),4*($E$5-1)+1,KW$5-1,1,1)</f>
        <v>#REF!</v>
      </c>
      <c r="KX6" s="35" t="e">
        <f ca="1">KV6</f>
        <v>#REF!</v>
      </c>
      <c r="KY6" s="36" t="e">
        <f ca="1">OFFSET(INDIRECT("行事历!$D$3"),4*($E$5-1)+4,KY$5-1,1,1)</f>
        <v>#REF!</v>
      </c>
      <c r="KZ6" s="33" t="e">
        <f ca="1">OFFSET(INDIRECT("行事历!$D$3"),4*($E$5-1)+3,KZ$5-1,1,1)</f>
        <v>#REF!</v>
      </c>
      <c r="LA6" s="34" t="e">
        <f ca="1">OFFSET(INDIRECT("行事历!$D$3"),4*($E$5-1)+1,LA$5-1,1,1)</f>
        <v>#REF!</v>
      </c>
      <c r="LB6" s="35" t="e">
        <f ca="1">KZ6</f>
        <v>#REF!</v>
      </c>
      <c r="LC6" s="36" t="e">
        <f ca="1">OFFSET(INDIRECT("行事历!$D$3"),4*($E$5-1)+4,LC$5-1,1,1)</f>
        <v>#REF!</v>
      </c>
      <c r="LD6" s="33" t="e">
        <f ca="1">OFFSET(INDIRECT("行事历!$D$3"),4*($E$5-1)+3,LD$5-1,1,1)</f>
        <v>#REF!</v>
      </c>
      <c r="LE6" s="34" t="e">
        <f ca="1">OFFSET(INDIRECT("行事历!$D$3"),4*($E$5-1)+1,LE$5-1,1,1)</f>
        <v>#REF!</v>
      </c>
      <c r="LF6" s="35" t="e">
        <f ca="1">LD6</f>
        <v>#REF!</v>
      </c>
      <c r="LG6" s="36" t="e">
        <f ca="1">OFFSET(INDIRECT("行事历!$D$3"),4*($E$5-1)+4,LG$5-1,1,1)</f>
        <v>#REF!</v>
      </c>
      <c r="LH6" s="33" t="e">
        <f ca="1">OFFSET(INDIRECT("行事历!$D$3"),4*($E$5-1)+3,LH$5-1,1,1)</f>
        <v>#REF!</v>
      </c>
      <c r="LI6" s="34" t="e">
        <f ca="1">OFFSET(INDIRECT("行事历!$D$3"),4*($E$5-1)+1,LI$5-1,1,1)</f>
        <v>#REF!</v>
      </c>
      <c r="LJ6" s="35" t="e">
        <f ca="1">LH6</f>
        <v>#REF!</v>
      </c>
      <c r="LK6" s="36" t="e">
        <f ca="1">OFFSET(INDIRECT("行事历!$D$3"),4*($E$5-1)+4,LK$5-1,1,1)</f>
        <v>#REF!</v>
      </c>
      <c r="LL6" s="33" t="e">
        <f ca="1">OFFSET(INDIRECT("行事历!$D$3"),4*($E$5-1)+3,LL$5-1,1,1)</f>
        <v>#REF!</v>
      </c>
      <c r="LM6" s="34" t="e">
        <f ca="1">OFFSET(INDIRECT("行事历!$D$3"),4*($E$5-1)+1,LM$5-1,1,1)</f>
        <v>#REF!</v>
      </c>
      <c r="LN6" s="35" t="e">
        <f ca="1">LL6</f>
        <v>#REF!</v>
      </c>
      <c r="LO6" s="36" t="e">
        <f ca="1">OFFSET(INDIRECT("行事历!$D$3"),4*($E$5-1)+4,LO$5-1,1,1)</f>
        <v>#REF!</v>
      </c>
      <c r="LP6" s="33" t="e">
        <f ca="1">OFFSET(INDIRECT("行事历!$D$3"),4*($E$5-1)+3,LP$5-1,1,1)</f>
        <v>#REF!</v>
      </c>
      <c r="LQ6" s="34" t="e">
        <f ca="1">OFFSET(INDIRECT("行事历!$D$3"),4*($E$5-1)+1,LQ$5-1,1,1)</f>
        <v>#REF!</v>
      </c>
      <c r="LR6" s="35" t="e">
        <f ca="1">LP6</f>
        <v>#REF!</v>
      </c>
      <c r="LS6" s="36" t="e">
        <f ca="1">OFFSET(INDIRECT("行事历!$D$3"),4*($E$5-1)+4,LS$5-1,1,1)</f>
        <v>#REF!</v>
      </c>
      <c r="LT6" s="33" t="e">
        <f ca="1">OFFSET(INDIRECT("行事历!$D$3"),4*($E$5-1)+3,LT$5-1,1,1)</f>
        <v>#REF!</v>
      </c>
      <c r="LU6" s="34" t="e">
        <f ca="1">OFFSET(INDIRECT("行事历!$D$3"),4*($E$5-1)+1,LU$5-1,1,1)</f>
        <v>#REF!</v>
      </c>
      <c r="LV6" s="35" t="e">
        <f ca="1">LT6</f>
        <v>#REF!</v>
      </c>
      <c r="LW6" s="36" t="e">
        <f ca="1">OFFSET(INDIRECT("行事历!$D$3"),4*($E$5-1)+4,LW$5-1,1,1)</f>
        <v>#REF!</v>
      </c>
      <c r="LX6" s="33" t="e">
        <f ca="1">OFFSET(INDIRECT("行事历!$D$3"),4*($E$5-1)+3,LX$5-1,1,1)</f>
        <v>#REF!</v>
      </c>
      <c r="LY6" s="34" t="e">
        <f ca="1">OFFSET(INDIRECT("行事历!$D$3"),4*($E$5-1)+1,LY$5-1,1,1)</f>
        <v>#REF!</v>
      </c>
      <c r="LZ6" s="35" t="e">
        <f ca="1">LX6</f>
        <v>#REF!</v>
      </c>
      <c r="MA6" s="36" t="e">
        <f ca="1">OFFSET(INDIRECT("行事历!$D$3"),4*($E$5-1)+4,MA$5-1,1,1)</f>
        <v>#REF!</v>
      </c>
      <c r="MB6" s="33" t="e">
        <f ca="1">OFFSET(INDIRECT("行事历!$D$3"),4*($E$5-1)+3,MB$5-1,1,1)</f>
        <v>#REF!</v>
      </c>
      <c r="MC6" s="34" t="e">
        <f ca="1">OFFSET(INDIRECT("行事历!$D$3"),4*($E$5-1)+1,MC$5-1,1,1)</f>
        <v>#REF!</v>
      </c>
      <c r="MD6" s="35" t="e">
        <f ca="1">MB6</f>
        <v>#REF!</v>
      </c>
      <c r="ME6" s="36" t="e">
        <f ca="1">OFFSET(INDIRECT("行事历!$D$3"),4*($E$5-1)+4,ME$5-1,1,1)</f>
        <v>#REF!</v>
      </c>
      <c r="MF6" s="33" t="e">
        <f ca="1">OFFSET(INDIRECT("行事历!$D$3"),4*($E$5-1)+3,MF$5-1,1,1)</f>
        <v>#REF!</v>
      </c>
      <c r="MG6" s="34" t="e">
        <f ca="1">OFFSET(INDIRECT("行事历!$D$3"),4*($E$5-1)+1,MG$5-1,1,1)</f>
        <v>#REF!</v>
      </c>
      <c r="MH6" s="35" t="e">
        <f ca="1">MF6</f>
        <v>#REF!</v>
      </c>
      <c r="MI6" s="36" t="e">
        <f ca="1">OFFSET(INDIRECT("行事历!$D$3"),4*($E$5-1)+4,MI$5-1,1,1)</f>
        <v>#REF!</v>
      </c>
      <c r="MJ6" s="33" t="e">
        <f ca="1">OFFSET(INDIRECT("行事历!$D$3"),4*($E$5-1)+3,MJ$5-1,1,1)</f>
        <v>#REF!</v>
      </c>
      <c r="MK6" s="34" t="e">
        <f ca="1">OFFSET(INDIRECT("行事历!$D$3"),4*($E$5-1)+1,MK$5-1,1,1)</f>
        <v>#REF!</v>
      </c>
      <c r="ML6" s="35" t="e">
        <f ca="1">MJ6</f>
        <v>#REF!</v>
      </c>
      <c r="MM6" s="36" t="e">
        <f ca="1">OFFSET(INDIRECT("行事历!$D$3"),4*($E$5-1)+4,MM$5-1,1,1)</f>
        <v>#REF!</v>
      </c>
      <c r="MN6" s="80"/>
    </row>
    <row r="7" spans="1:352" s="66" customFormat="1" ht="24.75" customHeight="1" x14ac:dyDescent="0.25">
      <c r="A7" s="65" t="s">
        <v>322</v>
      </c>
      <c r="B7" s="65" t="s">
        <v>322</v>
      </c>
      <c r="C7" s="108" t="s">
        <v>382</v>
      </c>
      <c r="D7" s="42" t="s">
        <v>516</v>
      </c>
      <c r="E7" s="93" t="s">
        <v>3</v>
      </c>
      <c r="F7" s="93" t="s">
        <v>517</v>
      </c>
      <c r="G7" s="94" t="s">
        <v>518</v>
      </c>
      <c r="H7" s="42" t="s">
        <v>519</v>
      </c>
      <c r="I7" s="93" t="s">
        <v>520</v>
      </c>
      <c r="J7" s="93" t="s">
        <v>521</v>
      </c>
      <c r="K7" s="93" t="s">
        <v>522</v>
      </c>
      <c r="L7" s="43" t="s">
        <v>523</v>
      </c>
      <c r="M7" s="43" t="s">
        <v>524</v>
      </c>
      <c r="N7" s="43" t="s">
        <v>525</v>
      </c>
      <c r="O7" s="43" t="s">
        <v>526</v>
      </c>
      <c r="P7" s="59" t="s">
        <v>527</v>
      </c>
      <c r="Q7" s="37" t="s">
        <v>528</v>
      </c>
      <c r="R7" s="45" t="s">
        <v>529</v>
      </c>
      <c r="S7" s="87" t="s">
        <v>530</v>
      </c>
      <c r="T7" s="45" t="s">
        <v>531</v>
      </c>
      <c r="U7" s="45" t="s">
        <v>532</v>
      </c>
      <c r="V7" s="45" t="s">
        <v>533</v>
      </c>
      <c r="W7" s="45" t="s">
        <v>534</v>
      </c>
      <c r="X7" s="45" t="s">
        <v>535</v>
      </c>
      <c r="Y7" s="45" t="s">
        <v>536</v>
      </c>
      <c r="Z7" s="39" t="s">
        <v>537</v>
      </c>
      <c r="AA7" s="39" t="s">
        <v>538</v>
      </c>
      <c r="AB7" s="39" t="s">
        <v>539</v>
      </c>
      <c r="AC7" s="39" t="s">
        <v>540</v>
      </c>
      <c r="AD7" s="46" t="s">
        <v>541</v>
      </c>
      <c r="AE7" s="46" t="s">
        <v>542</v>
      </c>
      <c r="AF7" s="39" t="s">
        <v>543</v>
      </c>
      <c r="AG7" s="38" t="s">
        <v>376</v>
      </c>
      <c r="AH7" s="44" t="s">
        <v>544</v>
      </c>
      <c r="AI7" s="44" t="s">
        <v>545</v>
      </c>
      <c r="AJ7" s="44" t="s">
        <v>377</v>
      </c>
      <c r="AK7" s="44" t="s">
        <v>546</v>
      </c>
      <c r="AL7" s="44" t="s">
        <v>547</v>
      </c>
      <c r="AM7" s="49" t="s">
        <v>592</v>
      </c>
      <c r="AN7" s="93" t="s">
        <v>548</v>
      </c>
      <c r="AO7" s="93" t="s">
        <v>549</v>
      </c>
      <c r="AP7" s="49" t="s">
        <v>550</v>
      </c>
      <c r="AQ7" s="50" t="s">
        <v>551</v>
      </c>
      <c r="AR7" s="50" t="s">
        <v>552</v>
      </c>
      <c r="AS7" s="50" t="s">
        <v>553</v>
      </c>
      <c r="AT7" s="51" t="s">
        <v>554</v>
      </c>
      <c r="AU7" s="81" t="s">
        <v>555</v>
      </c>
      <c r="AV7" s="45" t="s">
        <v>556</v>
      </c>
      <c r="AW7" s="45" t="s">
        <v>557</v>
      </c>
      <c r="AX7" s="42" t="s">
        <v>558</v>
      </c>
      <c r="AY7" s="93" t="s">
        <v>559</v>
      </c>
      <c r="AZ7" s="47" t="s">
        <v>560</v>
      </c>
      <c r="BA7" s="48" t="s">
        <v>561</v>
      </c>
      <c r="BB7" s="49" t="s">
        <v>562</v>
      </c>
      <c r="BC7" s="49" t="s">
        <v>563</v>
      </c>
      <c r="BD7" s="50" t="s">
        <v>564</v>
      </c>
      <c r="BE7" s="51" t="s">
        <v>565</v>
      </c>
      <c r="BF7" s="40" t="s">
        <v>566</v>
      </c>
      <c r="BG7" s="15" t="s">
        <v>593</v>
      </c>
      <c r="BH7" s="16" t="s">
        <v>227</v>
      </c>
      <c r="BI7" s="17" t="s">
        <v>565</v>
      </c>
      <c r="BJ7" s="18" t="s">
        <v>566</v>
      </c>
      <c r="BK7" s="15" t="s">
        <v>329</v>
      </c>
      <c r="BL7" s="16" t="s">
        <v>227</v>
      </c>
      <c r="BM7" s="17" t="s">
        <v>565</v>
      </c>
      <c r="BN7" s="18" t="s">
        <v>566</v>
      </c>
      <c r="BO7" s="15" t="s">
        <v>329</v>
      </c>
      <c r="BP7" s="16" t="s">
        <v>227</v>
      </c>
      <c r="BQ7" s="17" t="s">
        <v>565</v>
      </c>
      <c r="BR7" s="18" t="s">
        <v>566</v>
      </c>
      <c r="BS7" s="15" t="s">
        <v>329</v>
      </c>
      <c r="BT7" s="16" t="s">
        <v>227</v>
      </c>
      <c r="BU7" s="17" t="s">
        <v>565</v>
      </c>
      <c r="BV7" s="18" t="s">
        <v>566</v>
      </c>
      <c r="BW7" s="15" t="s">
        <v>329</v>
      </c>
      <c r="BX7" s="16" t="s">
        <v>227</v>
      </c>
      <c r="BY7" s="17" t="s">
        <v>565</v>
      </c>
      <c r="BZ7" s="18" t="s">
        <v>566</v>
      </c>
      <c r="CA7" s="15" t="s">
        <v>329</v>
      </c>
      <c r="CB7" s="16" t="s">
        <v>227</v>
      </c>
      <c r="CC7" s="17" t="s">
        <v>565</v>
      </c>
      <c r="CD7" s="18" t="s">
        <v>566</v>
      </c>
      <c r="CE7" s="15" t="s">
        <v>329</v>
      </c>
      <c r="CF7" s="16" t="s">
        <v>227</v>
      </c>
      <c r="CG7" s="17" t="s">
        <v>565</v>
      </c>
      <c r="CH7" s="18" t="s">
        <v>566</v>
      </c>
      <c r="CI7" s="15" t="s">
        <v>329</v>
      </c>
      <c r="CJ7" s="16" t="s">
        <v>227</v>
      </c>
      <c r="CK7" s="17" t="s">
        <v>565</v>
      </c>
      <c r="CL7" s="18" t="s">
        <v>566</v>
      </c>
      <c r="CM7" s="15" t="s">
        <v>329</v>
      </c>
      <c r="CN7" s="16" t="s">
        <v>227</v>
      </c>
      <c r="CO7" s="17" t="s">
        <v>565</v>
      </c>
      <c r="CP7" s="18" t="s">
        <v>566</v>
      </c>
      <c r="CQ7" s="15" t="s">
        <v>329</v>
      </c>
      <c r="CR7" s="16" t="s">
        <v>227</v>
      </c>
      <c r="CS7" s="17" t="s">
        <v>565</v>
      </c>
      <c r="CT7" s="18" t="s">
        <v>566</v>
      </c>
      <c r="CU7" s="15" t="s">
        <v>329</v>
      </c>
      <c r="CV7" s="16" t="s">
        <v>227</v>
      </c>
      <c r="CW7" s="17" t="s">
        <v>565</v>
      </c>
      <c r="CX7" s="18" t="s">
        <v>566</v>
      </c>
      <c r="CY7" s="15" t="s">
        <v>329</v>
      </c>
      <c r="CZ7" s="16" t="s">
        <v>227</v>
      </c>
      <c r="DA7" s="17" t="s">
        <v>565</v>
      </c>
      <c r="DB7" s="18" t="s">
        <v>566</v>
      </c>
      <c r="DC7" s="15" t="s">
        <v>329</v>
      </c>
      <c r="DD7" s="16" t="s">
        <v>227</v>
      </c>
      <c r="DE7" s="17" t="s">
        <v>565</v>
      </c>
      <c r="DF7" s="18" t="s">
        <v>566</v>
      </c>
      <c r="DG7" s="15" t="s">
        <v>329</v>
      </c>
      <c r="DH7" s="16" t="s">
        <v>227</v>
      </c>
      <c r="DI7" s="17" t="s">
        <v>565</v>
      </c>
      <c r="DJ7" s="18" t="s">
        <v>566</v>
      </c>
      <c r="DK7" s="15" t="s">
        <v>329</v>
      </c>
      <c r="DL7" s="16" t="s">
        <v>227</v>
      </c>
      <c r="DM7" s="17" t="s">
        <v>565</v>
      </c>
      <c r="DN7" s="18" t="s">
        <v>566</v>
      </c>
      <c r="DO7" s="15" t="s">
        <v>329</v>
      </c>
      <c r="DP7" s="16" t="s">
        <v>227</v>
      </c>
      <c r="DQ7" s="17" t="s">
        <v>565</v>
      </c>
      <c r="DR7" s="18" t="s">
        <v>566</v>
      </c>
      <c r="DS7" s="15" t="s">
        <v>329</v>
      </c>
      <c r="DT7" s="16" t="s">
        <v>227</v>
      </c>
      <c r="DU7" s="17" t="s">
        <v>565</v>
      </c>
      <c r="DV7" s="18" t="s">
        <v>566</v>
      </c>
      <c r="DW7" s="15" t="s">
        <v>329</v>
      </c>
      <c r="DX7" s="16" t="s">
        <v>227</v>
      </c>
      <c r="DY7" s="17" t="s">
        <v>565</v>
      </c>
      <c r="DZ7" s="18" t="s">
        <v>566</v>
      </c>
      <c r="EA7" s="15" t="s">
        <v>329</v>
      </c>
      <c r="EB7" s="16" t="s">
        <v>227</v>
      </c>
      <c r="EC7" s="17" t="s">
        <v>565</v>
      </c>
      <c r="ED7" s="18" t="s">
        <v>566</v>
      </c>
      <c r="EE7" s="15" t="s">
        <v>329</v>
      </c>
      <c r="EF7" s="16" t="s">
        <v>227</v>
      </c>
      <c r="EG7" s="17" t="s">
        <v>565</v>
      </c>
      <c r="EH7" s="18" t="s">
        <v>566</v>
      </c>
      <c r="EI7" s="15" t="s">
        <v>329</v>
      </c>
      <c r="EJ7" s="16" t="s">
        <v>227</v>
      </c>
      <c r="EK7" s="17" t="s">
        <v>565</v>
      </c>
      <c r="EL7" s="18" t="s">
        <v>566</v>
      </c>
      <c r="EM7" s="15" t="s">
        <v>329</v>
      </c>
      <c r="EN7" s="16" t="s">
        <v>227</v>
      </c>
      <c r="EO7" s="17" t="s">
        <v>565</v>
      </c>
      <c r="EP7" s="18" t="s">
        <v>566</v>
      </c>
      <c r="EQ7" s="15" t="s">
        <v>329</v>
      </c>
      <c r="ER7" s="16" t="s">
        <v>227</v>
      </c>
      <c r="ES7" s="17" t="s">
        <v>565</v>
      </c>
      <c r="ET7" s="18" t="s">
        <v>566</v>
      </c>
      <c r="EU7" s="15" t="s">
        <v>329</v>
      </c>
      <c r="EV7" s="16" t="s">
        <v>227</v>
      </c>
      <c r="EW7" s="17" t="s">
        <v>565</v>
      </c>
      <c r="EX7" s="18" t="s">
        <v>566</v>
      </c>
      <c r="EY7" s="15" t="s">
        <v>329</v>
      </c>
      <c r="EZ7" s="16" t="s">
        <v>227</v>
      </c>
      <c r="FA7" s="17" t="s">
        <v>565</v>
      </c>
      <c r="FB7" s="18" t="s">
        <v>566</v>
      </c>
      <c r="FC7" s="15" t="s">
        <v>329</v>
      </c>
      <c r="FD7" s="16" t="s">
        <v>227</v>
      </c>
      <c r="FE7" s="17" t="s">
        <v>565</v>
      </c>
      <c r="FF7" s="18" t="s">
        <v>566</v>
      </c>
      <c r="FG7" s="15" t="s">
        <v>329</v>
      </c>
      <c r="FH7" s="16" t="s">
        <v>227</v>
      </c>
      <c r="FI7" s="17" t="s">
        <v>565</v>
      </c>
      <c r="FJ7" s="18" t="s">
        <v>566</v>
      </c>
      <c r="FK7" s="15" t="s">
        <v>329</v>
      </c>
      <c r="FL7" s="16" t="s">
        <v>227</v>
      </c>
      <c r="FM7" s="17" t="s">
        <v>565</v>
      </c>
      <c r="FN7" s="18" t="s">
        <v>566</v>
      </c>
      <c r="FO7" s="15" t="s">
        <v>329</v>
      </c>
      <c r="FP7" s="16" t="s">
        <v>227</v>
      </c>
      <c r="FQ7" s="17" t="s">
        <v>565</v>
      </c>
      <c r="FR7" s="18" t="s">
        <v>566</v>
      </c>
      <c r="FS7" s="15" t="s">
        <v>329</v>
      </c>
      <c r="FT7" s="16" t="s">
        <v>227</v>
      </c>
      <c r="FU7" s="17" t="s">
        <v>565</v>
      </c>
      <c r="FV7" s="18" t="s">
        <v>566</v>
      </c>
      <c r="FW7" s="15" t="s">
        <v>329</v>
      </c>
      <c r="FX7" s="16" t="s">
        <v>227</v>
      </c>
      <c r="FY7" s="17" t="s">
        <v>565</v>
      </c>
      <c r="FZ7" s="18" t="s">
        <v>566</v>
      </c>
      <c r="GA7" s="195"/>
      <c r="GB7" s="82"/>
      <c r="GC7" s="59" t="s">
        <v>527</v>
      </c>
      <c r="GD7" s="37" t="s">
        <v>528</v>
      </c>
      <c r="GE7" s="45" t="s">
        <v>529</v>
      </c>
      <c r="GF7" s="87" t="s">
        <v>530</v>
      </c>
      <c r="GG7" s="45" t="s">
        <v>531</v>
      </c>
      <c r="GH7" s="45" t="s">
        <v>532</v>
      </c>
      <c r="GI7" s="45" t="s">
        <v>533</v>
      </c>
      <c r="GJ7" s="45" t="s">
        <v>534</v>
      </c>
      <c r="GK7" s="45" t="s">
        <v>535</v>
      </c>
      <c r="GL7" s="45" t="s">
        <v>536</v>
      </c>
      <c r="GM7" s="39" t="s">
        <v>537</v>
      </c>
      <c r="GN7" s="39" t="s">
        <v>538</v>
      </c>
      <c r="GO7" s="39" t="s">
        <v>539</v>
      </c>
      <c r="GP7" s="39" t="s">
        <v>540</v>
      </c>
      <c r="GQ7" s="39" t="s">
        <v>541</v>
      </c>
      <c r="GR7" s="39" t="s">
        <v>542</v>
      </c>
      <c r="GS7" s="39" t="s">
        <v>543</v>
      </c>
      <c r="GT7" s="38" t="s">
        <v>376</v>
      </c>
      <c r="GU7" s="44" t="s">
        <v>544</v>
      </c>
      <c r="GV7" s="44" t="s">
        <v>545</v>
      </c>
      <c r="GW7" s="44" t="s">
        <v>377</v>
      </c>
      <c r="GX7" s="44" t="s">
        <v>546</v>
      </c>
      <c r="GY7" s="44" t="s">
        <v>547</v>
      </c>
      <c r="GZ7" s="49" t="s">
        <v>592</v>
      </c>
      <c r="HA7" s="93" t="s">
        <v>548</v>
      </c>
      <c r="HB7" s="93" t="s">
        <v>549</v>
      </c>
      <c r="HC7" s="49" t="s">
        <v>550</v>
      </c>
      <c r="HD7" s="50" t="s">
        <v>551</v>
      </c>
      <c r="HE7" s="50" t="s">
        <v>552</v>
      </c>
      <c r="HF7" s="50" t="s">
        <v>553</v>
      </c>
      <c r="HG7" s="51" t="s">
        <v>554</v>
      </c>
      <c r="HH7" s="81" t="s">
        <v>555</v>
      </c>
      <c r="HI7" s="87" t="s">
        <v>556</v>
      </c>
      <c r="HJ7" s="87" t="s">
        <v>557</v>
      </c>
      <c r="HK7" s="42" t="s">
        <v>558</v>
      </c>
      <c r="HL7" s="93" t="s">
        <v>559</v>
      </c>
      <c r="HM7" s="47" t="s">
        <v>560</v>
      </c>
      <c r="HN7" s="48" t="s">
        <v>561</v>
      </c>
      <c r="HO7" s="49" t="s">
        <v>562</v>
      </c>
      <c r="HP7" s="49" t="s">
        <v>563</v>
      </c>
      <c r="HQ7" s="50" t="s">
        <v>564</v>
      </c>
      <c r="HR7" s="51" t="s">
        <v>565</v>
      </c>
      <c r="HS7" s="40" t="s">
        <v>566</v>
      </c>
      <c r="HT7" s="15" t="s">
        <v>329</v>
      </c>
      <c r="HU7" s="16" t="s">
        <v>227</v>
      </c>
      <c r="HV7" s="17" t="s">
        <v>565</v>
      </c>
      <c r="HW7" s="18" t="s">
        <v>566</v>
      </c>
      <c r="HX7" s="15" t="s">
        <v>329</v>
      </c>
      <c r="HY7" s="16" t="s">
        <v>227</v>
      </c>
      <c r="HZ7" s="17" t="s">
        <v>565</v>
      </c>
      <c r="IA7" s="18" t="s">
        <v>566</v>
      </c>
      <c r="IB7" s="15" t="s">
        <v>329</v>
      </c>
      <c r="IC7" s="16" t="s">
        <v>227</v>
      </c>
      <c r="ID7" s="17" t="s">
        <v>565</v>
      </c>
      <c r="IE7" s="18" t="s">
        <v>566</v>
      </c>
      <c r="IF7" s="15" t="s">
        <v>329</v>
      </c>
      <c r="IG7" s="16" t="s">
        <v>227</v>
      </c>
      <c r="IH7" s="17" t="s">
        <v>565</v>
      </c>
      <c r="II7" s="18" t="s">
        <v>566</v>
      </c>
      <c r="IJ7" s="15" t="s">
        <v>329</v>
      </c>
      <c r="IK7" s="16" t="s">
        <v>227</v>
      </c>
      <c r="IL7" s="17" t="s">
        <v>565</v>
      </c>
      <c r="IM7" s="18" t="s">
        <v>566</v>
      </c>
      <c r="IN7" s="15" t="s">
        <v>329</v>
      </c>
      <c r="IO7" s="16" t="s">
        <v>227</v>
      </c>
      <c r="IP7" s="17" t="s">
        <v>565</v>
      </c>
      <c r="IQ7" s="18" t="s">
        <v>566</v>
      </c>
      <c r="IR7" s="15" t="s">
        <v>329</v>
      </c>
      <c r="IS7" s="16" t="s">
        <v>227</v>
      </c>
      <c r="IT7" s="17" t="s">
        <v>565</v>
      </c>
      <c r="IU7" s="18" t="s">
        <v>566</v>
      </c>
      <c r="IV7" s="15" t="s">
        <v>329</v>
      </c>
      <c r="IW7" s="16" t="s">
        <v>227</v>
      </c>
      <c r="IX7" s="17" t="s">
        <v>565</v>
      </c>
      <c r="IY7" s="18" t="s">
        <v>566</v>
      </c>
      <c r="IZ7" s="15" t="s">
        <v>329</v>
      </c>
      <c r="JA7" s="16" t="s">
        <v>227</v>
      </c>
      <c r="JB7" s="17" t="s">
        <v>565</v>
      </c>
      <c r="JC7" s="18" t="s">
        <v>566</v>
      </c>
      <c r="JD7" s="15" t="s">
        <v>329</v>
      </c>
      <c r="JE7" s="16" t="s">
        <v>227</v>
      </c>
      <c r="JF7" s="17" t="s">
        <v>565</v>
      </c>
      <c r="JG7" s="18" t="s">
        <v>566</v>
      </c>
      <c r="JH7" s="15" t="s">
        <v>329</v>
      </c>
      <c r="JI7" s="16" t="s">
        <v>227</v>
      </c>
      <c r="JJ7" s="17" t="s">
        <v>565</v>
      </c>
      <c r="JK7" s="18" t="s">
        <v>566</v>
      </c>
      <c r="JL7" s="15" t="s">
        <v>329</v>
      </c>
      <c r="JM7" s="16" t="s">
        <v>227</v>
      </c>
      <c r="JN7" s="17" t="s">
        <v>565</v>
      </c>
      <c r="JO7" s="18" t="s">
        <v>566</v>
      </c>
      <c r="JP7" s="15" t="s">
        <v>329</v>
      </c>
      <c r="JQ7" s="16" t="s">
        <v>227</v>
      </c>
      <c r="JR7" s="17" t="s">
        <v>565</v>
      </c>
      <c r="JS7" s="18" t="s">
        <v>566</v>
      </c>
      <c r="JT7" s="15" t="s">
        <v>329</v>
      </c>
      <c r="JU7" s="16" t="s">
        <v>227</v>
      </c>
      <c r="JV7" s="17" t="s">
        <v>565</v>
      </c>
      <c r="JW7" s="18" t="s">
        <v>566</v>
      </c>
      <c r="JX7" s="15" t="s">
        <v>329</v>
      </c>
      <c r="JY7" s="16" t="s">
        <v>227</v>
      </c>
      <c r="JZ7" s="17" t="s">
        <v>565</v>
      </c>
      <c r="KA7" s="18" t="s">
        <v>566</v>
      </c>
      <c r="KB7" s="15" t="s">
        <v>329</v>
      </c>
      <c r="KC7" s="16" t="s">
        <v>227</v>
      </c>
      <c r="KD7" s="17" t="s">
        <v>565</v>
      </c>
      <c r="KE7" s="18" t="s">
        <v>566</v>
      </c>
      <c r="KF7" s="15" t="s">
        <v>329</v>
      </c>
      <c r="KG7" s="16" t="s">
        <v>227</v>
      </c>
      <c r="KH7" s="17" t="s">
        <v>565</v>
      </c>
      <c r="KI7" s="18" t="s">
        <v>566</v>
      </c>
      <c r="KJ7" s="15" t="s">
        <v>329</v>
      </c>
      <c r="KK7" s="16" t="s">
        <v>227</v>
      </c>
      <c r="KL7" s="17" t="s">
        <v>565</v>
      </c>
      <c r="KM7" s="18" t="s">
        <v>566</v>
      </c>
      <c r="KN7" s="15" t="s">
        <v>329</v>
      </c>
      <c r="KO7" s="16" t="s">
        <v>227</v>
      </c>
      <c r="KP7" s="17" t="s">
        <v>565</v>
      </c>
      <c r="KQ7" s="18" t="s">
        <v>566</v>
      </c>
      <c r="KR7" s="15" t="s">
        <v>329</v>
      </c>
      <c r="KS7" s="16" t="s">
        <v>227</v>
      </c>
      <c r="KT7" s="17" t="s">
        <v>565</v>
      </c>
      <c r="KU7" s="18" t="s">
        <v>566</v>
      </c>
      <c r="KV7" s="15" t="s">
        <v>329</v>
      </c>
      <c r="KW7" s="16" t="s">
        <v>227</v>
      </c>
      <c r="KX7" s="17" t="s">
        <v>565</v>
      </c>
      <c r="KY7" s="18" t="s">
        <v>566</v>
      </c>
      <c r="KZ7" s="15" t="s">
        <v>329</v>
      </c>
      <c r="LA7" s="16" t="s">
        <v>227</v>
      </c>
      <c r="LB7" s="17" t="s">
        <v>565</v>
      </c>
      <c r="LC7" s="18" t="s">
        <v>566</v>
      </c>
      <c r="LD7" s="15" t="s">
        <v>329</v>
      </c>
      <c r="LE7" s="16" t="s">
        <v>227</v>
      </c>
      <c r="LF7" s="17" t="s">
        <v>565</v>
      </c>
      <c r="LG7" s="18" t="s">
        <v>566</v>
      </c>
      <c r="LH7" s="15" t="s">
        <v>329</v>
      </c>
      <c r="LI7" s="16" t="s">
        <v>227</v>
      </c>
      <c r="LJ7" s="17" t="s">
        <v>565</v>
      </c>
      <c r="LK7" s="18" t="s">
        <v>566</v>
      </c>
      <c r="LL7" s="15" t="s">
        <v>329</v>
      </c>
      <c r="LM7" s="16" t="s">
        <v>227</v>
      </c>
      <c r="LN7" s="17" t="s">
        <v>565</v>
      </c>
      <c r="LO7" s="18" t="s">
        <v>566</v>
      </c>
      <c r="LP7" s="15" t="s">
        <v>329</v>
      </c>
      <c r="LQ7" s="16" t="s">
        <v>227</v>
      </c>
      <c r="LR7" s="17" t="s">
        <v>565</v>
      </c>
      <c r="LS7" s="18" t="s">
        <v>566</v>
      </c>
      <c r="LT7" s="15" t="s">
        <v>329</v>
      </c>
      <c r="LU7" s="16" t="s">
        <v>227</v>
      </c>
      <c r="LV7" s="17" t="s">
        <v>565</v>
      </c>
      <c r="LW7" s="18" t="s">
        <v>566</v>
      </c>
      <c r="LX7" s="15" t="s">
        <v>329</v>
      </c>
      <c r="LY7" s="16" t="s">
        <v>227</v>
      </c>
      <c r="LZ7" s="17" t="s">
        <v>565</v>
      </c>
      <c r="MA7" s="18" t="s">
        <v>566</v>
      </c>
      <c r="MB7" s="15" t="s">
        <v>329</v>
      </c>
      <c r="MC7" s="16" t="s">
        <v>227</v>
      </c>
      <c r="MD7" s="17" t="s">
        <v>565</v>
      </c>
      <c r="ME7" s="18" t="s">
        <v>566</v>
      </c>
      <c r="MF7" s="15" t="s">
        <v>329</v>
      </c>
      <c r="MG7" s="16" t="s">
        <v>227</v>
      </c>
      <c r="MH7" s="17" t="s">
        <v>565</v>
      </c>
      <c r="MI7" s="18" t="s">
        <v>566</v>
      </c>
      <c r="MJ7" s="15" t="s">
        <v>329</v>
      </c>
      <c r="MK7" s="16" t="s">
        <v>227</v>
      </c>
      <c r="ML7" s="17" t="s">
        <v>565</v>
      </c>
      <c r="MM7" s="18" t="s">
        <v>566</v>
      </c>
      <c r="MN7" s="80"/>
    </row>
    <row r="9" spans="1:352" x14ac:dyDescent="0.25">
      <c r="E9" s="4" t="s">
        <v>14</v>
      </c>
      <c r="F9" s="4" t="s">
        <v>25</v>
      </c>
      <c r="G9" s="4" t="s">
        <v>13</v>
      </c>
      <c r="H9" s="4" t="s">
        <v>19</v>
      </c>
      <c r="I9" s="4" t="s">
        <v>20</v>
      </c>
      <c r="J9" s="4" t="s">
        <v>18</v>
      </c>
      <c r="K9" s="4" t="s">
        <v>7</v>
      </c>
      <c r="L9" s="4" t="s">
        <v>8</v>
      </c>
    </row>
    <row r="10" spans="1:352" ht="15.6" x14ac:dyDescent="0.35">
      <c r="B10" t="str">
        <f>IF(C10=E10,"OK","KK")</f>
        <v>OK</v>
      </c>
      <c r="C10" s="41" t="s">
        <v>515</v>
      </c>
      <c r="E10" s="41" t="s">
        <v>315</v>
      </c>
      <c r="F10" s="6"/>
      <c r="G10" s="2" t="s">
        <v>225</v>
      </c>
      <c r="H10" s="3"/>
      <c r="I10" s="3">
        <v>3</v>
      </c>
      <c r="J10" s="2">
        <v>1</v>
      </c>
      <c r="K10" s="13" t="s">
        <v>94</v>
      </c>
      <c r="L10" s="2" t="s">
        <v>223</v>
      </c>
    </row>
    <row r="11" spans="1:352" ht="15.6" x14ac:dyDescent="0.35">
      <c r="B11" t="str">
        <f t="shared" ref="B11:B74" si="62">IF(C11=E11,"OK","KK")</f>
        <v>OK</v>
      </c>
      <c r="C11" s="83" t="s">
        <v>516</v>
      </c>
      <c r="E11" s="42" t="s">
        <v>330</v>
      </c>
      <c r="F11" s="2"/>
      <c r="G11" s="2" t="s">
        <v>225</v>
      </c>
      <c r="H11" s="3"/>
      <c r="I11" s="3">
        <f>I10+1</f>
        <v>4</v>
      </c>
      <c r="J11" s="2">
        <v>2</v>
      </c>
      <c r="K11" s="13" t="s">
        <v>0</v>
      </c>
      <c r="L11" s="2" t="s">
        <v>223</v>
      </c>
    </row>
    <row r="12" spans="1:352" ht="15.6" x14ac:dyDescent="0.35">
      <c r="B12" t="str">
        <f t="shared" si="62"/>
        <v>OK</v>
      </c>
      <c r="C12" s="41" t="s">
        <v>3</v>
      </c>
      <c r="E12" s="93" t="s">
        <v>3</v>
      </c>
      <c r="F12" s="2" t="s">
        <v>508</v>
      </c>
      <c r="G12" s="2" t="s">
        <v>225</v>
      </c>
      <c r="H12" s="3"/>
      <c r="I12" s="3">
        <f t="shared" ref="I12:I75" si="63">I11+1</f>
        <v>5</v>
      </c>
      <c r="J12" s="2">
        <v>3</v>
      </c>
      <c r="K12" s="13" t="s">
        <v>2</v>
      </c>
      <c r="L12" s="2" t="s">
        <v>223</v>
      </c>
    </row>
    <row r="13" spans="1:352" ht="15.6" x14ac:dyDescent="0.35">
      <c r="B13" t="str">
        <f t="shared" si="62"/>
        <v>OK</v>
      </c>
      <c r="C13" s="41" t="s">
        <v>517</v>
      </c>
      <c r="E13" s="93" t="s">
        <v>331</v>
      </c>
      <c r="F13" s="7"/>
      <c r="G13" s="2" t="s">
        <v>225</v>
      </c>
      <c r="H13" s="3"/>
      <c r="I13" s="3">
        <f t="shared" si="63"/>
        <v>6</v>
      </c>
      <c r="J13" s="2">
        <v>4</v>
      </c>
      <c r="K13" s="13" t="s">
        <v>96</v>
      </c>
      <c r="L13" s="2" t="s">
        <v>223</v>
      </c>
    </row>
    <row r="14" spans="1:352" ht="26.4" x14ac:dyDescent="0.35">
      <c r="B14" t="str">
        <f t="shared" si="62"/>
        <v>OK</v>
      </c>
      <c r="C14" s="41" t="s">
        <v>518</v>
      </c>
      <c r="E14" s="94" t="s">
        <v>338</v>
      </c>
      <c r="F14" s="6"/>
      <c r="G14" s="14" t="s">
        <v>224</v>
      </c>
      <c r="H14" s="3"/>
      <c r="I14" s="3">
        <f t="shared" si="63"/>
        <v>7</v>
      </c>
      <c r="J14" s="2">
        <v>5</v>
      </c>
    </row>
    <row r="15" spans="1:352" ht="26.4" x14ac:dyDescent="0.35">
      <c r="B15" t="str">
        <f t="shared" si="62"/>
        <v>OK</v>
      </c>
      <c r="C15" s="83" t="s">
        <v>519</v>
      </c>
      <c r="E15" s="42" t="s">
        <v>332</v>
      </c>
      <c r="F15" s="2" t="s">
        <v>226</v>
      </c>
      <c r="G15" s="2" t="s">
        <v>225</v>
      </c>
      <c r="H15" s="3"/>
      <c r="I15" s="3">
        <f t="shared" si="63"/>
        <v>8</v>
      </c>
      <c r="J15" s="2">
        <v>6</v>
      </c>
      <c r="K15" s="13" t="s">
        <v>5</v>
      </c>
      <c r="L15" s="2" t="s">
        <v>223</v>
      </c>
    </row>
    <row r="16" spans="1:352" ht="15.6" x14ac:dyDescent="0.35">
      <c r="B16" t="str">
        <f t="shared" si="62"/>
        <v>OK</v>
      </c>
      <c r="C16" s="41" t="s">
        <v>520</v>
      </c>
      <c r="E16" s="93" t="s">
        <v>320</v>
      </c>
      <c r="F16" s="6"/>
      <c r="G16" s="2" t="s">
        <v>225</v>
      </c>
      <c r="H16" s="3"/>
      <c r="I16" s="3">
        <f t="shared" si="63"/>
        <v>9</v>
      </c>
      <c r="J16" s="2">
        <v>7</v>
      </c>
      <c r="K16" s="13" t="s">
        <v>95</v>
      </c>
      <c r="L16" s="2" t="s">
        <v>223</v>
      </c>
    </row>
    <row r="17" spans="2:12" ht="15.6" x14ac:dyDescent="0.35">
      <c r="B17" t="str">
        <f t="shared" si="62"/>
        <v>OK</v>
      </c>
      <c r="C17" s="41" t="s">
        <v>521</v>
      </c>
      <c r="E17" s="93" t="s">
        <v>321</v>
      </c>
      <c r="F17" s="6"/>
      <c r="G17" s="2" t="s">
        <v>225</v>
      </c>
      <c r="H17" s="3"/>
      <c r="I17" s="3">
        <f t="shared" si="63"/>
        <v>10</v>
      </c>
      <c r="J17" s="2">
        <v>8</v>
      </c>
      <c r="K17" s="13" t="s">
        <v>300</v>
      </c>
      <c r="L17" s="2" t="s">
        <v>223</v>
      </c>
    </row>
    <row r="18" spans="2:12" ht="15.6" x14ac:dyDescent="0.35">
      <c r="B18" t="str">
        <f t="shared" si="62"/>
        <v>OK</v>
      </c>
      <c r="C18" s="41" t="s">
        <v>522</v>
      </c>
      <c r="E18" s="93" t="s">
        <v>316</v>
      </c>
      <c r="F18" s="6"/>
      <c r="G18" s="2" t="s">
        <v>225</v>
      </c>
      <c r="H18" s="3"/>
      <c r="I18" s="3">
        <f t="shared" si="63"/>
        <v>11</v>
      </c>
      <c r="J18" s="2">
        <v>9</v>
      </c>
      <c r="K18" s="13" t="s">
        <v>301</v>
      </c>
      <c r="L18" s="2" t="s">
        <v>223</v>
      </c>
    </row>
    <row r="19" spans="2:12" ht="15.6" x14ac:dyDescent="0.35">
      <c r="B19" t="str">
        <f t="shared" si="62"/>
        <v>OK</v>
      </c>
      <c r="C19" s="84" t="s">
        <v>523</v>
      </c>
      <c r="E19" s="43" t="s">
        <v>333</v>
      </c>
      <c r="F19" s="2" t="s">
        <v>292</v>
      </c>
      <c r="G19" s="2" t="s">
        <v>225</v>
      </c>
      <c r="H19" s="3"/>
      <c r="I19" s="3">
        <f t="shared" si="63"/>
        <v>12</v>
      </c>
      <c r="J19" s="2">
        <v>10</v>
      </c>
    </row>
    <row r="20" spans="2:12" ht="15.6" x14ac:dyDescent="0.35">
      <c r="B20" t="str">
        <f t="shared" si="62"/>
        <v>OK</v>
      </c>
      <c r="C20" s="84" t="s">
        <v>524</v>
      </c>
      <c r="E20" s="43" t="s">
        <v>334</v>
      </c>
      <c r="F20" s="2" t="s">
        <v>292</v>
      </c>
      <c r="G20" s="2" t="s">
        <v>225</v>
      </c>
      <c r="H20" s="3"/>
      <c r="I20" s="3">
        <f t="shared" si="63"/>
        <v>13</v>
      </c>
      <c r="J20" s="2">
        <v>11</v>
      </c>
    </row>
    <row r="21" spans="2:12" ht="15.6" x14ac:dyDescent="0.35">
      <c r="B21" t="str">
        <f t="shared" si="62"/>
        <v>OK</v>
      </c>
      <c r="C21" s="84" t="s">
        <v>525</v>
      </c>
      <c r="E21" s="43" t="s">
        <v>335</v>
      </c>
      <c r="F21" s="2" t="s">
        <v>292</v>
      </c>
      <c r="G21" s="2" t="s">
        <v>225</v>
      </c>
      <c r="H21" s="3"/>
      <c r="I21" s="3">
        <f t="shared" si="63"/>
        <v>14</v>
      </c>
      <c r="J21" s="2">
        <v>12</v>
      </c>
    </row>
    <row r="22" spans="2:12" ht="15.6" x14ac:dyDescent="0.35">
      <c r="B22" t="str">
        <f t="shared" si="62"/>
        <v>OK</v>
      </c>
      <c r="C22" s="84" t="s">
        <v>526</v>
      </c>
      <c r="E22" s="43" t="s">
        <v>336</v>
      </c>
      <c r="F22" s="6"/>
      <c r="G22" s="14" t="s">
        <v>224</v>
      </c>
      <c r="H22" s="3"/>
      <c r="I22" s="3">
        <f t="shared" si="63"/>
        <v>15</v>
      </c>
      <c r="J22" s="2">
        <v>13</v>
      </c>
    </row>
    <row r="23" spans="2:12" ht="15.6" x14ac:dyDescent="0.35">
      <c r="B23" t="str">
        <f t="shared" si="62"/>
        <v>OK</v>
      </c>
      <c r="C23" s="85" t="s">
        <v>527</v>
      </c>
      <c r="E23" s="85" t="s">
        <v>383</v>
      </c>
      <c r="F23" s="2" t="s">
        <v>292</v>
      </c>
      <c r="G23" s="2" t="s">
        <v>225</v>
      </c>
      <c r="I23" s="3">
        <f t="shared" si="63"/>
        <v>16</v>
      </c>
      <c r="J23" s="2">
        <v>14</v>
      </c>
    </row>
    <row r="24" spans="2:12" ht="15.6" x14ac:dyDescent="0.35">
      <c r="B24" t="str">
        <f t="shared" si="62"/>
        <v>OK</v>
      </c>
      <c r="C24" s="86" t="s">
        <v>528</v>
      </c>
      <c r="E24" s="37" t="s">
        <v>337</v>
      </c>
      <c r="F24" s="2" t="s">
        <v>291</v>
      </c>
      <c r="G24" s="2" t="s">
        <v>225</v>
      </c>
      <c r="H24" s="3"/>
      <c r="I24" s="3">
        <f t="shared" si="63"/>
        <v>17</v>
      </c>
      <c r="J24" s="2">
        <v>15</v>
      </c>
    </row>
    <row r="25" spans="2:12" ht="15.6" x14ac:dyDescent="0.35">
      <c r="B25" t="str">
        <f t="shared" si="62"/>
        <v>OK</v>
      </c>
      <c r="C25" s="87" t="s">
        <v>529</v>
      </c>
      <c r="E25" s="45" t="s">
        <v>339</v>
      </c>
      <c r="F25" s="2" t="s">
        <v>290</v>
      </c>
      <c r="G25" s="2" t="s">
        <v>225</v>
      </c>
      <c r="H25" s="3"/>
      <c r="I25" s="3">
        <f t="shared" si="63"/>
        <v>18</v>
      </c>
      <c r="J25" s="2">
        <v>16</v>
      </c>
    </row>
    <row r="26" spans="2:12" ht="15.6" x14ac:dyDescent="0.35">
      <c r="B26" t="str">
        <f t="shared" si="62"/>
        <v>KK</v>
      </c>
      <c r="C26" s="87" t="s">
        <v>530</v>
      </c>
      <c r="E26" s="45" t="s">
        <v>340</v>
      </c>
      <c r="F26" s="2" t="s">
        <v>291</v>
      </c>
      <c r="G26" s="2" t="s">
        <v>225</v>
      </c>
      <c r="H26" s="3"/>
      <c r="I26" s="3">
        <f t="shared" si="63"/>
        <v>19</v>
      </c>
      <c r="J26" s="2">
        <v>17</v>
      </c>
    </row>
    <row r="27" spans="2:12" ht="15.6" x14ac:dyDescent="0.35">
      <c r="B27" t="str">
        <f t="shared" si="62"/>
        <v>KK</v>
      </c>
      <c r="C27" s="87" t="s">
        <v>531</v>
      </c>
      <c r="E27" s="45" t="s">
        <v>312</v>
      </c>
      <c r="F27" s="2"/>
      <c r="G27" s="14" t="s">
        <v>224</v>
      </c>
      <c r="H27" s="3"/>
      <c r="I27" s="3">
        <f t="shared" si="63"/>
        <v>20</v>
      </c>
      <c r="J27" s="2">
        <v>18</v>
      </c>
    </row>
    <row r="28" spans="2:12" ht="15.6" x14ac:dyDescent="0.35">
      <c r="B28" t="str">
        <f t="shared" si="62"/>
        <v>KK</v>
      </c>
      <c r="C28" s="87" t="s">
        <v>532</v>
      </c>
      <c r="E28" s="45" t="s">
        <v>313</v>
      </c>
      <c r="F28" s="2"/>
      <c r="G28" s="14" t="s">
        <v>224</v>
      </c>
      <c r="H28" s="3"/>
      <c r="I28" s="3">
        <f t="shared" si="63"/>
        <v>21</v>
      </c>
      <c r="J28" s="2">
        <v>19</v>
      </c>
    </row>
    <row r="29" spans="2:12" ht="15.6" x14ac:dyDescent="0.35">
      <c r="B29" t="str">
        <f t="shared" si="62"/>
        <v>KK</v>
      </c>
      <c r="C29" s="87" t="s">
        <v>533</v>
      </c>
      <c r="E29" s="45" t="s">
        <v>341</v>
      </c>
      <c r="F29" s="2" t="s">
        <v>291</v>
      </c>
      <c r="G29" s="2" t="s">
        <v>225</v>
      </c>
      <c r="H29" s="3"/>
      <c r="I29" s="3">
        <f t="shared" si="63"/>
        <v>22</v>
      </c>
      <c r="J29" s="2">
        <v>20</v>
      </c>
    </row>
    <row r="30" spans="2:12" ht="15.6" x14ac:dyDescent="0.35">
      <c r="B30" t="str">
        <f t="shared" si="62"/>
        <v>KK</v>
      </c>
      <c r="C30" s="87" t="s">
        <v>534</v>
      </c>
      <c r="E30" s="45" t="s">
        <v>323</v>
      </c>
      <c r="F30" s="2" t="s">
        <v>291</v>
      </c>
      <c r="G30" s="2" t="s">
        <v>225</v>
      </c>
      <c r="H30" s="3"/>
      <c r="I30" s="3">
        <f t="shared" si="63"/>
        <v>23</v>
      </c>
      <c r="J30" s="2">
        <v>21</v>
      </c>
    </row>
    <row r="31" spans="2:12" ht="15.6" x14ac:dyDescent="0.35">
      <c r="B31" t="str">
        <f t="shared" si="62"/>
        <v>KK</v>
      </c>
      <c r="C31" s="87" t="s">
        <v>535</v>
      </c>
      <c r="E31" s="45" t="s">
        <v>324</v>
      </c>
      <c r="F31" s="2" t="s">
        <v>291</v>
      </c>
      <c r="G31" s="2" t="s">
        <v>225</v>
      </c>
      <c r="H31" s="3"/>
      <c r="I31" s="3">
        <f t="shared" si="63"/>
        <v>24</v>
      </c>
      <c r="J31" s="2">
        <v>22</v>
      </c>
    </row>
    <row r="32" spans="2:12" ht="15.6" x14ac:dyDescent="0.35">
      <c r="B32" t="str">
        <f t="shared" si="62"/>
        <v>KK</v>
      </c>
      <c r="C32" s="87" t="s">
        <v>536</v>
      </c>
      <c r="E32" s="39" t="s">
        <v>303</v>
      </c>
      <c r="F32" s="2" t="s">
        <v>290</v>
      </c>
      <c r="G32" s="2" t="s">
        <v>225</v>
      </c>
      <c r="H32" s="3"/>
      <c r="I32" s="3">
        <f t="shared" si="63"/>
        <v>25</v>
      </c>
      <c r="J32" s="2">
        <v>23</v>
      </c>
    </row>
    <row r="33" spans="2:12" ht="15.6" x14ac:dyDescent="0.35">
      <c r="B33" t="str">
        <f t="shared" si="62"/>
        <v>KK</v>
      </c>
      <c r="C33" s="39" t="s">
        <v>537</v>
      </c>
      <c r="E33" s="39" t="s">
        <v>307</v>
      </c>
      <c r="F33" s="5"/>
      <c r="G33" s="14" t="s">
        <v>224</v>
      </c>
      <c r="H33" s="3"/>
      <c r="I33" s="3">
        <f t="shared" si="63"/>
        <v>26</v>
      </c>
      <c r="J33" s="2">
        <v>24</v>
      </c>
    </row>
    <row r="34" spans="2:12" ht="15.6" x14ac:dyDescent="0.35">
      <c r="B34" t="str">
        <f t="shared" si="62"/>
        <v>KK</v>
      </c>
      <c r="C34" s="39" t="s">
        <v>538</v>
      </c>
      <c r="E34" s="39" t="s">
        <v>308</v>
      </c>
      <c r="F34" s="5"/>
      <c r="G34" s="14" t="s">
        <v>224</v>
      </c>
      <c r="H34" s="3"/>
      <c r="I34" s="3">
        <f t="shared" si="63"/>
        <v>27</v>
      </c>
      <c r="J34" s="2">
        <v>25</v>
      </c>
    </row>
    <row r="35" spans="2:12" ht="26.4" x14ac:dyDescent="0.35">
      <c r="B35" t="str">
        <f t="shared" si="62"/>
        <v>KK</v>
      </c>
      <c r="C35" s="39" t="s">
        <v>539</v>
      </c>
      <c r="E35" s="39" t="s">
        <v>309</v>
      </c>
      <c r="F35" s="2" t="s">
        <v>290</v>
      </c>
      <c r="G35" s="2" t="s">
        <v>225</v>
      </c>
      <c r="H35" s="3"/>
      <c r="I35" s="3">
        <f t="shared" si="63"/>
        <v>28</v>
      </c>
      <c r="J35" s="2">
        <v>26</v>
      </c>
    </row>
    <row r="36" spans="2:12" ht="26.4" x14ac:dyDescent="0.35">
      <c r="B36" t="str">
        <f t="shared" si="62"/>
        <v>KK</v>
      </c>
      <c r="C36" s="39" t="s">
        <v>540</v>
      </c>
      <c r="E36" s="46" t="s">
        <v>310</v>
      </c>
      <c r="F36" s="5"/>
      <c r="G36" s="14" t="s">
        <v>224</v>
      </c>
      <c r="H36" s="3"/>
      <c r="I36" s="3">
        <f t="shared" si="63"/>
        <v>29</v>
      </c>
      <c r="J36" s="2">
        <v>27</v>
      </c>
    </row>
    <row r="37" spans="2:12" ht="26.4" x14ac:dyDescent="0.35">
      <c r="B37" t="str">
        <f t="shared" si="62"/>
        <v>KK</v>
      </c>
      <c r="C37" s="39" t="s">
        <v>541</v>
      </c>
      <c r="E37" s="46" t="s">
        <v>311</v>
      </c>
      <c r="F37" s="5"/>
      <c r="G37" s="14" t="s">
        <v>224</v>
      </c>
      <c r="H37" s="3"/>
      <c r="I37" s="3">
        <f t="shared" si="63"/>
        <v>30</v>
      </c>
      <c r="J37" s="2">
        <v>28</v>
      </c>
    </row>
    <row r="38" spans="2:12" ht="15.6" x14ac:dyDescent="0.35">
      <c r="B38" t="str">
        <f t="shared" si="62"/>
        <v>KK</v>
      </c>
      <c r="C38" s="39" t="s">
        <v>542</v>
      </c>
      <c r="E38" s="39" t="s">
        <v>398</v>
      </c>
      <c r="F38" s="5"/>
      <c r="G38" s="14" t="s">
        <v>224</v>
      </c>
      <c r="H38" s="3"/>
      <c r="I38" s="3">
        <f t="shared" si="63"/>
        <v>31</v>
      </c>
      <c r="J38" s="2"/>
    </row>
    <row r="39" spans="2:12" ht="26.4" x14ac:dyDescent="0.35">
      <c r="B39" t="str">
        <f t="shared" si="62"/>
        <v>KK</v>
      </c>
      <c r="C39" s="39" t="s">
        <v>543</v>
      </c>
      <c r="E39" s="38" t="s">
        <v>376</v>
      </c>
      <c r="F39" s="2" t="s">
        <v>290</v>
      </c>
      <c r="G39" s="2" t="s">
        <v>225</v>
      </c>
      <c r="H39" s="3"/>
      <c r="I39" s="3">
        <f t="shared" si="63"/>
        <v>32</v>
      </c>
      <c r="J39" s="2">
        <v>29</v>
      </c>
    </row>
    <row r="40" spans="2:12" ht="26.4" x14ac:dyDescent="0.35">
      <c r="B40" t="str">
        <f t="shared" si="62"/>
        <v>KK</v>
      </c>
      <c r="C40" s="88" t="s">
        <v>376</v>
      </c>
      <c r="E40" s="44" t="s">
        <v>319</v>
      </c>
      <c r="F40" s="7"/>
      <c r="G40" s="14" t="s">
        <v>224</v>
      </c>
      <c r="H40" s="3"/>
      <c r="I40" s="3">
        <f t="shared" si="63"/>
        <v>33</v>
      </c>
      <c r="J40" s="2">
        <v>30</v>
      </c>
    </row>
    <row r="41" spans="2:12" ht="15.6" x14ac:dyDescent="0.35">
      <c r="B41" t="str">
        <f t="shared" si="62"/>
        <v>KK</v>
      </c>
      <c r="C41" s="89" t="s">
        <v>544</v>
      </c>
      <c r="E41" s="44" t="s">
        <v>304</v>
      </c>
      <c r="F41" s="2"/>
      <c r="G41" s="14" t="s">
        <v>224</v>
      </c>
      <c r="H41" s="3"/>
      <c r="I41" s="3">
        <f t="shared" si="63"/>
        <v>34</v>
      </c>
      <c r="J41" s="2">
        <v>31</v>
      </c>
    </row>
    <row r="42" spans="2:12" ht="26.4" x14ac:dyDescent="0.35">
      <c r="B42" t="str">
        <f t="shared" si="62"/>
        <v>KK</v>
      </c>
      <c r="C42" s="89" t="s">
        <v>545</v>
      </c>
      <c r="E42" s="44" t="s">
        <v>377</v>
      </c>
      <c r="F42" s="2" t="s">
        <v>292</v>
      </c>
      <c r="G42" s="2" t="s">
        <v>225</v>
      </c>
      <c r="H42" s="3"/>
      <c r="I42" s="3">
        <f t="shared" si="63"/>
        <v>35</v>
      </c>
      <c r="J42" s="2">
        <v>32</v>
      </c>
    </row>
    <row r="43" spans="2:12" ht="26.4" x14ac:dyDescent="0.35">
      <c r="B43" t="str">
        <f t="shared" si="62"/>
        <v>KK</v>
      </c>
      <c r="C43" s="89" t="s">
        <v>377</v>
      </c>
      <c r="E43" s="44" t="s">
        <v>317</v>
      </c>
      <c r="F43" s="2"/>
      <c r="G43" s="14" t="s">
        <v>224</v>
      </c>
      <c r="H43" s="3"/>
      <c r="I43" s="3">
        <f t="shared" si="63"/>
        <v>36</v>
      </c>
      <c r="J43" s="2">
        <v>33</v>
      </c>
    </row>
    <row r="44" spans="2:12" ht="26.4" x14ac:dyDescent="0.35">
      <c r="B44" t="str">
        <f t="shared" si="62"/>
        <v>KK</v>
      </c>
      <c r="C44" s="89" t="s">
        <v>546</v>
      </c>
      <c r="E44" s="44" t="s">
        <v>318</v>
      </c>
      <c r="F44" s="2"/>
      <c r="G44" s="14" t="s">
        <v>224</v>
      </c>
      <c r="H44" s="3"/>
      <c r="I44" s="3">
        <f t="shared" si="63"/>
        <v>37</v>
      </c>
      <c r="J44" s="2">
        <v>34</v>
      </c>
    </row>
    <row r="45" spans="2:12" ht="26.4" x14ac:dyDescent="0.35">
      <c r="B45" t="str">
        <f t="shared" si="62"/>
        <v>KK</v>
      </c>
      <c r="C45" s="89" t="s">
        <v>547</v>
      </c>
      <c r="E45" s="45" t="s">
        <v>370</v>
      </c>
      <c r="F45" s="2" t="s">
        <v>290</v>
      </c>
      <c r="G45" s="2" t="s">
        <v>225</v>
      </c>
      <c r="H45" s="3"/>
      <c r="I45" s="3">
        <f t="shared" si="63"/>
        <v>38</v>
      </c>
      <c r="J45" s="2">
        <v>35</v>
      </c>
    </row>
    <row r="46" spans="2:12" ht="26.4" x14ac:dyDescent="0.35">
      <c r="B46" t="str">
        <f t="shared" si="62"/>
        <v>KK</v>
      </c>
      <c r="C46" s="87" t="s">
        <v>370</v>
      </c>
      <c r="E46" s="93" t="s">
        <v>305</v>
      </c>
      <c r="F46" s="5"/>
      <c r="G46" s="2" t="s">
        <v>225</v>
      </c>
      <c r="H46" s="3"/>
      <c r="I46" s="3">
        <f t="shared" si="63"/>
        <v>39</v>
      </c>
      <c r="J46" s="2">
        <v>36</v>
      </c>
      <c r="K46" s="13" t="s">
        <v>97</v>
      </c>
      <c r="L46" s="2" t="s">
        <v>4</v>
      </c>
    </row>
    <row r="47" spans="2:12" ht="26.4" x14ac:dyDescent="0.35">
      <c r="B47" t="str">
        <f t="shared" si="62"/>
        <v>KK</v>
      </c>
      <c r="C47" s="41" t="s">
        <v>548</v>
      </c>
      <c r="E47" s="93" t="s">
        <v>306</v>
      </c>
      <c r="F47" s="5"/>
      <c r="G47" s="2" t="s">
        <v>225</v>
      </c>
      <c r="H47" s="3"/>
      <c r="I47" s="3">
        <f t="shared" si="63"/>
        <v>40</v>
      </c>
      <c r="J47" s="2">
        <v>37</v>
      </c>
      <c r="K47" s="13" t="s">
        <v>98</v>
      </c>
      <c r="L47" s="2" t="s">
        <v>4</v>
      </c>
    </row>
    <row r="48" spans="2:12" ht="26.4" x14ac:dyDescent="0.35">
      <c r="B48" t="str">
        <f t="shared" si="62"/>
        <v>KK</v>
      </c>
      <c r="C48" s="41" t="s">
        <v>549</v>
      </c>
      <c r="E48" s="45" t="s">
        <v>371</v>
      </c>
      <c r="F48" s="2" t="s">
        <v>290</v>
      </c>
      <c r="G48" s="2" t="s">
        <v>225</v>
      </c>
      <c r="H48" s="3"/>
      <c r="I48" s="3">
        <f t="shared" si="63"/>
        <v>41</v>
      </c>
      <c r="J48" s="2">
        <v>38</v>
      </c>
    </row>
    <row r="49" spans="2:10" ht="26.4" x14ac:dyDescent="0.35">
      <c r="B49" t="str">
        <f t="shared" si="62"/>
        <v>KK</v>
      </c>
      <c r="C49" s="61" t="s">
        <v>550</v>
      </c>
      <c r="E49" s="45" t="s">
        <v>372</v>
      </c>
      <c r="F49" s="2" t="s">
        <v>290</v>
      </c>
      <c r="G49" s="2" t="s">
        <v>225</v>
      </c>
      <c r="H49" s="3"/>
      <c r="I49" s="3">
        <f t="shared" si="63"/>
        <v>42</v>
      </c>
      <c r="J49" s="2">
        <v>39</v>
      </c>
    </row>
    <row r="50" spans="2:10" ht="26.4" x14ac:dyDescent="0.35">
      <c r="B50" t="str">
        <f t="shared" si="62"/>
        <v>KK</v>
      </c>
      <c r="C50" s="62" t="s">
        <v>551</v>
      </c>
      <c r="E50" s="45" t="s">
        <v>373</v>
      </c>
      <c r="F50" s="2" t="s">
        <v>290</v>
      </c>
      <c r="G50" s="2" t="s">
        <v>225</v>
      </c>
      <c r="H50" s="3"/>
      <c r="I50" s="3">
        <f t="shared" si="63"/>
        <v>43</v>
      </c>
      <c r="J50" s="2">
        <v>40</v>
      </c>
    </row>
    <row r="51" spans="2:10" ht="26.4" x14ac:dyDescent="0.35">
      <c r="B51" t="str">
        <f t="shared" si="62"/>
        <v>KK</v>
      </c>
      <c r="C51" s="62" t="s">
        <v>552</v>
      </c>
      <c r="E51" s="45" t="s">
        <v>374</v>
      </c>
      <c r="F51" s="2" t="s">
        <v>290</v>
      </c>
      <c r="G51" s="2" t="s">
        <v>225</v>
      </c>
      <c r="H51" s="3"/>
      <c r="I51" s="3">
        <f t="shared" si="63"/>
        <v>44</v>
      </c>
      <c r="J51" s="2">
        <v>41</v>
      </c>
    </row>
    <row r="52" spans="2:10" ht="26.4" x14ac:dyDescent="0.35">
      <c r="B52" t="str">
        <f t="shared" si="62"/>
        <v>KK</v>
      </c>
      <c r="C52" s="62" t="s">
        <v>553</v>
      </c>
      <c r="E52" s="51" t="s">
        <v>378</v>
      </c>
      <c r="F52" s="2" t="s">
        <v>290</v>
      </c>
      <c r="G52" s="2" t="s">
        <v>225</v>
      </c>
      <c r="H52" s="3"/>
      <c r="I52" s="3">
        <f t="shared" si="63"/>
        <v>45</v>
      </c>
      <c r="J52" s="2">
        <v>42</v>
      </c>
    </row>
    <row r="53" spans="2:10" ht="15.6" x14ac:dyDescent="0.35">
      <c r="B53" t="str">
        <f t="shared" si="62"/>
        <v>KK</v>
      </c>
      <c r="C53" s="63" t="s">
        <v>554</v>
      </c>
      <c r="E53" s="81" t="s">
        <v>379</v>
      </c>
      <c r="F53" s="2" t="s">
        <v>290</v>
      </c>
      <c r="G53" s="2" t="s">
        <v>225</v>
      </c>
      <c r="H53" s="3"/>
      <c r="I53" s="3">
        <f t="shared" si="63"/>
        <v>46</v>
      </c>
      <c r="J53" s="2">
        <v>43</v>
      </c>
    </row>
    <row r="54" spans="2:10" ht="26.4" x14ac:dyDescent="0.35">
      <c r="B54" t="str">
        <f t="shared" si="62"/>
        <v>KK</v>
      </c>
      <c r="C54" s="64" t="s">
        <v>555</v>
      </c>
      <c r="E54" s="87" t="s">
        <v>380</v>
      </c>
      <c r="F54" s="2" t="s">
        <v>290</v>
      </c>
      <c r="G54" s="2" t="s">
        <v>225</v>
      </c>
      <c r="H54" s="3"/>
      <c r="I54" s="3">
        <f t="shared" si="63"/>
        <v>47</v>
      </c>
      <c r="J54" s="2"/>
    </row>
    <row r="55" spans="2:10" ht="26.4" x14ac:dyDescent="0.35">
      <c r="B55" t="str">
        <f t="shared" si="62"/>
        <v>KK</v>
      </c>
      <c r="C55" s="87" t="s">
        <v>556</v>
      </c>
      <c r="E55" s="87" t="s">
        <v>381</v>
      </c>
      <c r="F55" s="2" t="s">
        <v>290</v>
      </c>
      <c r="G55" s="2" t="s">
        <v>225</v>
      </c>
      <c r="H55" s="3"/>
      <c r="I55" s="3">
        <f t="shared" si="63"/>
        <v>48</v>
      </c>
      <c r="J55" s="2">
        <v>44</v>
      </c>
    </row>
    <row r="56" spans="2:10" ht="26.4" x14ac:dyDescent="0.35">
      <c r="B56" t="str">
        <f t="shared" si="62"/>
        <v>KK</v>
      </c>
      <c r="C56" s="87" t="s">
        <v>557</v>
      </c>
      <c r="E56" s="42" t="s">
        <v>342</v>
      </c>
      <c r="F56" s="2"/>
      <c r="G56" s="14" t="s">
        <v>224</v>
      </c>
      <c r="H56" s="3"/>
      <c r="I56" s="3">
        <f t="shared" si="63"/>
        <v>49</v>
      </c>
      <c r="J56" s="2">
        <v>45</v>
      </c>
    </row>
    <row r="57" spans="2:10" ht="26.4" x14ac:dyDescent="0.35">
      <c r="B57" t="str">
        <f t="shared" si="62"/>
        <v>KK</v>
      </c>
      <c r="C57" s="83" t="s">
        <v>558</v>
      </c>
      <c r="E57" s="93" t="s">
        <v>343</v>
      </c>
      <c r="F57" s="2" t="s">
        <v>290</v>
      </c>
      <c r="G57" s="2" t="s">
        <v>225</v>
      </c>
      <c r="H57" s="3"/>
      <c r="I57" s="3">
        <f t="shared" si="63"/>
        <v>50</v>
      </c>
      <c r="J57" s="2">
        <v>46</v>
      </c>
    </row>
    <row r="58" spans="2:10" ht="26.4" x14ac:dyDescent="0.35">
      <c r="B58" t="str">
        <f t="shared" si="62"/>
        <v>KK</v>
      </c>
      <c r="C58" s="41" t="s">
        <v>559</v>
      </c>
      <c r="E58" s="47" t="s">
        <v>344</v>
      </c>
      <c r="F58" s="2" t="s">
        <v>290</v>
      </c>
      <c r="G58" s="2" t="s">
        <v>225</v>
      </c>
      <c r="H58" s="3"/>
      <c r="I58" s="3">
        <f t="shared" si="63"/>
        <v>51</v>
      </c>
      <c r="J58" s="2">
        <v>47</v>
      </c>
    </row>
    <row r="59" spans="2:10" ht="15.6" x14ac:dyDescent="0.35">
      <c r="B59" t="str">
        <f t="shared" si="62"/>
        <v>KK</v>
      </c>
      <c r="C59" s="90" t="s">
        <v>560</v>
      </c>
      <c r="E59" s="48" t="s">
        <v>345</v>
      </c>
      <c r="F59" s="2" t="s">
        <v>290</v>
      </c>
      <c r="G59" s="2" t="s">
        <v>225</v>
      </c>
      <c r="H59" s="3"/>
      <c r="I59" s="3">
        <f t="shared" si="63"/>
        <v>52</v>
      </c>
      <c r="J59" s="2">
        <v>48</v>
      </c>
    </row>
    <row r="60" spans="2:10" ht="15.6" x14ac:dyDescent="0.35">
      <c r="B60" t="str">
        <f t="shared" si="62"/>
        <v>KK</v>
      </c>
      <c r="C60" s="91" t="s">
        <v>561</v>
      </c>
      <c r="E60" s="49" t="s">
        <v>314</v>
      </c>
      <c r="F60" s="2" t="s">
        <v>290</v>
      </c>
      <c r="G60" s="2" t="s">
        <v>225</v>
      </c>
      <c r="H60" s="3"/>
      <c r="I60" s="3">
        <f t="shared" si="63"/>
        <v>53</v>
      </c>
      <c r="J60" s="2">
        <v>49</v>
      </c>
    </row>
    <row r="61" spans="2:10" ht="15.6" x14ac:dyDescent="0.35">
      <c r="B61" t="str">
        <f t="shared" si="62"/>
        <v>KK</v>
      </c>
      <c r="C61" s="61" t="s">
        <v>562</v>
      </c>
      <c r="E61" s="49" t="s">
        <v>325</v>
      </c>
      <c r="F61" s="2" t="s">
        <v>290</v>
      </c>
      <c r="G61" s="2" t="s">
        <v>225</v>
      </c>
      <c r="H61" s="3"/>
      <c r="I61" s="3">
        <f t="shared" si="63"/>
        <v>54</v>
      </c>
      <c r="J61" s="2">
        <v>50</v>
      </c>
    </row>
    <row r="62" spans="2:10" ht="15.6" x14ac:dyDescent="0.35">
      <c r="B62" t="str">
        <f t="shared" si="62"/>
        <v>KK</v>
      </c>
      <c r="C62" s="61" t="s">
        <v>563</v>
      </c>
      <c r="E62" s="50" t="s">
        <v>326</v>
      </c>
      <c r="F62" s="2" t="s">
        <v>290</v>
      </c>
      <c r="G62" s="2" t="s">
        <v>225</v>
      </c>
      <c r="H62" s="3"/>
      <c r="I62" s="3">
        <f t="shared" si="63"/>
        <v>55</v>
      </c>
      <c r="J62" s="2">
        <v>51</v>
      </c>
    </row>
    <row r="63" spans="2:10" ht="15.6" x14ac:dyDescent="0.35">
      <c r="B63" t="str">
        <f t="shared" si="62"/>
        <v>KK</v>
      </c>
      <c r="C63" s="62" t="s">
        <v>564</v>
      </c>
      <c r="E63" s="51" t="s">
        <v>327</v>
      </c>
      <c r="F63" s="2" t="s">
        <v>290</v>
      </c>
      <c r="G63" s="2" t="s">
        <v>225</v>
      </c>
      <c r="H63" s="3"/>
      <c r="I63" s="3">
        <f t="shared" si="63"/>
        <v>56</v>
      </c>
      <c r="J63" s="2">
        <v>52</v>
      </c>
    </row>
    <row r="64" spans="2:10" ht="15.6" x14ac:dyDescent="0.35">
      <c r="B64" t="str">
        <f t="shared" si="62"/>
        <v>KK</v>
      </c>
      <c r="C64" s="63" t="s">
        <v>565</v>
      </c>
      <c r="E64" s="40" t="s">
        <v>328</v>
      </c>
      <c r="F64" s="2" t="s">
        <v>290</v>
      </c>
      <c r="G64" s="2" t="s">
        <v>225</v>
      </c>
      <c r="H64" s="3"/>
      <c r="I64" s="3">
        <f t="shared" si="63"/>
        <v>57</v>
      </c>
      <c r="J64" s="2">
        <v>53</v>
      </c>
    </row>
    <row r="65" spans="2:12" ht="15.6" x14ac:dyDescent="0.35">
      <c r="B65" t="str">
        <f t="shared" si="62"/>
        <v>KK</v>
      </c>
      <c r="C65" s="92" t="s">
        <v>566</v>
      </c>
      <c r="E65" s="15" t="s">
        <v>228</v>
      </c>
      <c r="F65" s="2" t="s">
        <v>290</v>
      </c>
      <c r="G65" s="2" t="s">
        <v>225</v>
      </c>
      <c r="H65" s="3"/>
      <c r="I65" s="3">
        <f t="shared" si="63"/>
        <v>58</v>
      </c>
      <c r="J65" s="2">
        <v>54</v>
      </c>
      <c r="K65" s="13" t="s">
        <v>99</v>
      </c>
      <c r="L65" s="2" t="s">
        <v>6</v>
      </c>
    </row>
    <row r="66" spans="2:12" ht="15.6" x14ac:dyDescent="0.35">
      <c r="B66" t="str">
        <f t="shared" si="62"/>
        <v>KK</v>
      </c>
      <c r="C66" s="15" t="s">
        <v>228</v>
      </c>
      <c r="E66" s="16" t="s">
        <v>229</v>
      </c>
      <c r="F66" s="2" t="s">
        <v>290</v>
      </c>
      <c r="G66" s="2" t="s">
        <v>225</v>
      </c>
      <c r="H66" s="3"/>
      <c r="I66" s="3">
        <f t="shared" si="63"/>
        <v>59</v>
      </c>
      <c r="J66" s="2">
        <v>55</v>
      </c>
      <c r="K66" s="13" t="s">
        <v>100</v>
      </c>
      <c r="L66" s="2" t="s">
        <v>6</v>
      </c>
    </row>
    <row r="67" spans="2:12" ht="15.6" x14ac:dyDescent="0.35">
      <c r="B67" t="str">
        <f t="shared" si="62"/>
        <v>KK</v>
      </c>
      <c r="C67" s="16" t="s">
        <v>229</v>
      </c>
      <c r="E67" s="17" t="s">
        <v>31</v>
      </c>
      <c r="F67" s="2" t="s">
        <v>290</v>
      </c>
      <c r="G67" s="2" t="s">
        <v>225</v>
      </c>
      <c r="H67" s="3"/>
      <c r="I67" s="3">
        <f t="shared" si="63"/>
        <v>60</v>
      </c>
      <c r="J67" s="2">
        <v>56</v>
      </c>
      <c r="K67" s="13" t="s">
        <v>101</v>
      </c>
      <c r="L67" s="2" t="s">
        <v>6</v>
      </c>
    </row>
    <row r="68" spans="2:12" ht="15.6" x14ac:dyDescent="0.35">
      <c r="B68" t="str">
        <f t="shared" si="62"/>
        <v>KK</v>
      </c>
      <c r="C68" s="17" t="s">
        <v>31</v>
      </c>
      <c r="E68" s="18" t="s">
        <v>32</v>
      </c>
      <c r="F68" s="2" t="s">
        <v>290</v>
      </c>
      <c r="G68" s="2" t="s">
        <v>225</v>
      </c>
      <c r="H68" s="3"/>
      <c r="I68" s="3">
        <f t="shared" si="63"/>
        <v>61</v>
      </c>
      <c r="J68" s="2">
        <v>57</v>
      </c>
      <c r="K68" s="13" t="s">
        <v>102</v>
      </c>
      <c r="L68" s="2" t="s">
        <v>6</v>
      </c>
    </row>
    <row r="69" spans="2:12" ht="15.6" x14ac:dyDescent="0.35">
      <c r="B69" t="str">
        <f t="shared" si="62"/>
        <v>KK</v>
      </c>
      <c r="C69" s="18" t="s">
        <v>32</v>
      </c>
      <c r="E69" s="15" t="s">
        <v>230</v>
      </c>
      <c r="F69" s="2" t="s">
        <v>290</v>
      </c>
      <c r="G69" s="2" t="s">
        <v>225</v>
      </c>
      <c r="H69" s="3"/>
      <c r="I69" s="3">
        <f t="shared" si="63"/>
        <v>62</v>
      </c>
      <c r="J69" s="2">
        <v>58</v>
      </c>
      <c r="K69" s="13" t="s">
        <v>103</v>
      </c>
      <c r="L69" s="2" t="s">
        <v>6</v>
      </c>
    </row>
    <row r="70" spans="2:12" ht="15.6" x14ac:dyDescent="0.35">
      <c r="B70" t="str">
        <f t="shared" si="62"/>
        <v>KK</v>
      </c>
      <c r="C70" s="15" t="s">
        <v>230</v>
      </c>
      <c r="E70" s="16" t="s">
        <v>231</v>
      </c>
      <c r="F70" s="2" t="s">
        <v>290</v>
      </c>
      <c r="G70" s="2" t="s">
        <v>225</v>
      </c>
      <c r="H70" s="3"/>
      <c r="I70" s="3">
        <f t="shared" si="63"/>
        <v>63</v>
      </c>
      <c r="J70" s="2">
        <v>59</v>
      </c>
      <c r="K70" s="13" t="s">
        <v>104</v>
      </c>
      <c r="L70" s="2" t="s">
        <v>6</v>
      </c>
    </row>
    <row r="71" spans="2:12" ht="15.6" x14ac:dyDescent="0.35">
      <c r="B71" t="str">
        <f t="shared" si="62"/>
        <v>KK</v>
      </c>
      <c r="C71" s="16" t="s">
        <v>231</v>
      </c>
      <c r="E71" s="17" t="s">
        <v>33</v>
      </c>
      <c r="F71" s="2" t="s">
        <v>290</v>
      </c>
      <c r="G71" s="2" t="s">
        <v>225</v>
      </c>
      <c r="H71" s="3"/>
      <c r="I71" s="3">
        <f t="shared" si="63"/>
        <v>64</v>
      </c>
      <c r="J71" s="2">
        <v>60</v>
      </c>
      <c r="K71" s="13" t="s">
        <v>105</v>
      </c>
      <c r="L71" s="2" t="s">
        <v>6</v>
      </c>
    </row>
    <row r="72" spans="2:12" ht="15.6" x14ac:dyDescent="0.35">
      <c r="B72" t="str">
        <f t="shared" si="62"/>
        <v>KK</v>
      </c>
      <c r="C72" s="17" t="s">
        <v>33</v>
      </c>
      <c r="E72" s="18" t="s">
        <v>34</v>
      </c>
      <c r="F72" s="2" t="s">
        <v>290</v>
      </c>
      <c r="G72" s="2" t="s">
        <v>225</v>
      </c>
      <c r="H72" s="3"/>
      <c r="I72" s="3">
        <f t="shared" si="63"/>
        <v>65</v>
      </c>
      <c r="J72" s="2">
        <v>61</v>
      </c>
      <c r="K72" s="13" t="s">
        <v>106</v>
      </c>
      <c r="L72" s="2" t="s">
        <v>6</v>
      </c>
    </row>
    <row r="73" spans="2:12" ht="15.6" x14ac:dyDescent="0.35">
      <c r="B73" t="str">
        <f t="shared" si="62"/>
        <v>KK</v>
      </c>
      <c r="C73" s="18" t="s">
        <v>34</v>
      </c>
      <c r="E73" s="15" t="s">
        <v>232</v>
      </c>
      <c r="F73" s="2" t="s">
        <v>290</v>
      </c>
      <c r="G73" s="2" t="s">
        <v>225</v>
      </c>
      <c r="H73" s="3"/>
      <c r="I73" s="3">
        <f t="shared" si="63"/>
        <v>66</v>
      </c>
      <c r="J73" s="2">
        <v>62</v>
      </c>
      <c r="K73" s="13" t="s">
        <v>107</v>
      </c>
      <c r="L73" s="2" t="s">
        <v>6</v>
      </c>
    </row>
    <row r="74" spans="2:12" ht="15.6" x14ac:dyDescent="0.35">
      <c r="B74" t="str">
        <f t="shared" si="62"/>
        <v>KK</v>
      </c>
      <c r="C74" s="15" t="s">
        <v>232</v>
      </c>
      <c r="E74" s="16" t="s">
        <v>233</v>
      </c>
      <c r="F74" s="2" t="s">
        <v>290</v>
      </c>
      <c r="G74" s="2" t="s">
        <v>225</v>
      </c>
      <c r="H74" s="3"/>
      <c r="I74" s="3">
        <f t="shared" si="63"/>
        <v>67</v>
      </c>
      <c r="J74" s="2">
        <v>63</v>
      </c>
      <c r="K74" s="13" t="s">
        <v>108</v>
      </c>
      <c r="L74" s="2" t="s">
        <v>6</v>
      </c>
    </row>
    <row r="75" spans="2:12" ht="15.6" x14ac:dyDescent="0.35">
      <c r="B75" t="str">
        <f t="shared" ref="B75:B138" si="64">IF(C75=E75,"OK","KK")</f>
        <v>KK</v>
      </c>
      <c r="C75" s="16" t="s">
        <v>233</v>
      </c>
      <c r="E75" s="17" t="s">
        <v>35</v>
      </c>
      <c r="F75" s="2" t="s">
        <v>290</v>
      </c>
      <c r="G75" s="2" t="s">
        <v>225</v>
      </c>
      <c r="H75" s="3"/>
      <c r="I75" s="3">
        <f t="shared" si="63"/>
        <v>68</v>
      </c>
      <c r="J75" s="2">
        <v>64</v>
      </c>
      <c r="K75" s="13" t="s">
        <v>109</v>
      </c>
      <c r="L75" s="2" t="s">
        <v>6</v>
      </c>
    </row>
    <row r="76" spans="2:12" ht="15.6" x14ac:dyDescent="0.35">
      <c r="B76" t="str">
        <f t="shared" si="64"/>
        <v>KK</v>
      </c>
      <c r="C76" s="17" t="s">
        <v>35</v>
      </c>
      <c r="E76" s="18" t="s">
        <v>36</v>
      </c>
      <c r="F76" s="2" t="s">
        <v>290</v>
      </c>
      <c r="G76" s="2" t="s">
        <v>225</v>
      </c>
      <c r="H76" s="3"/>
      <c r="I76" s="3">
        <f t="shared" ref="I76:I139" si="65">I75+1</f>
        <v>69</v>
      </c>
      <c r="J76" s="2">
        <v>65</v>
      </c>
      <c r="K76" s="13" t="s">
        <v>110</v>
      </c>
      <c r="L76" s="2" t="s">
        <v>6</v>
      </c>
    </row>
    <row r="77" spans="2:12" ht="15.6" x14ac:dyDescent="0.35">
      <c r="B77" t="str">
        <f t="shared" si="64"/>
        <v>KK</v>
      </c>
      <c r="C77" s="18" t="s">
        <v>36</v>
      </c>
      <c r="E77" s="15" t="s">
        <v>234</v>
      </c>
      <c r="F77" s="2" t="s">
        <v>290</v>
      </c>
      <c r="G77" s="2" t="s">
        <v>225</v>
      </c>
      <c r="H77" s="3"/>
      <c r="I77" s="3">
        <f t="shared" si="65"/>
        <v>70</v>
      </c>
      <c r="J77" s="2">
        <v>66</v>
      </c>
      <c r="K77" s="13" t="s">
        <v>111</v>
      </c>
      <c r="L77" s="2" t="s">
        <v>6</v>
      </c>
    </row>
    <row r="78" spans="2:12" ht="15.6" x14ac:dyDescent="0.35">
      <c r="B78" t="str">
        <f t="shared" si="64"/>
        <v>KK</v>
      </c>
      <c r="C78" s="15" t="s">
        <v>234</v>
      </c>
      <c r="E78" s="16" t="s">
        <v>235</v>
      </c>
      <c r="F78" s="2" t="s">
        <v>290</v>
      </c>
      <c r="G78" s="2" t="s">
        <v>225</v>
      </c>
      <c r="H78" s="3"/>
      <c r="I78" s="3">
        <f t="shared" si="65"/>
        <v>71</v>
      </c>
      <c r="J78" s="2">
        <v>67</v>
      </c>
      <c r="K78" s="13" t="s">
        <v>112</v>
      </c>
      <c r="L78" s="2" t="s">
        <v>6</v>
      </c>
    </row>
    <row r="79" spans="2:12" ht="15.6" x14ac:dyDescent="0.35">
      <c r="B79" t="str">
        <f t="shared" si="64"/>
        <v>KK</v>
      </c>
      <c r="C79" s="16" t="s">
        <v>235</v>
      </c>
      <c r="E79" s="17" t="s">
        <v>37</v>
      </c>
      <c r="F79" s="2" t="s">
        <v>290</v>
      </c>
      <c r="G79" s="2" t="s">
        <v>225</v>
      </c>
      <c r="H79" s="3"/>
      <c r="I79" s="3">
        <f t="shared" si="65"/>
        <v>72</v>
      </c>
      <c r="J79" s="2">
        <v>68</v>
      </c>
      <c r="K79" s="13" t="s">
        <v>113</v>
      </c>
      <c r="L79" s="2" t="s">
        <v>6</v>
      </c>
    </row>
    <row r="80" spans="2:12" ht="15.6" x14ac:dyDescent="0.35">
      <c r="B80" t="str">
        <f t="shared" si="64"/>
        <v>KK</v>
      </c>
      <c r="C80" s="17" t="s">
        <v>37</v>
      </c>
      <c r="E80" s="18" t="s">
        <v>38</v>
      </c>
      <c r="F80" s="2" t="s">
        <v>290</v>
      </c>
      <c r="G80" s="2" t="s">
        <v>225</v>
      </c>
      <c r="H80" s="3"/>
      <c r="I80" s="3">
        <f t="shared" si="65"/>
        <v>73</v>
      </c>
      <c r="J80" s="2">
        <v>69</v>
      </c>
      <c r="K80" s="13" t="s">
        <v>114</v>
      </c>
      <c r="L80" s="2" t="s">
        <v>6</v>
      </c>
    </row>
    <row r="81" spans="2:12" ht="15.6" x14ac:dyDescent="0.35">
      <c r="B81" t="str">
        <f t="shared" si="64"/>
        <v>KK</v>
      </c>
      <c r="C81" s="18" t="s">
        <v>38</v>
      </c>
      <c r="E81" s="15" t="s">
        <v>236</v>
      </c>
      <c r="F81" s="2" t="s">
        <v>290</v>
      </c>
      <c r="G81" s="2" t="s">
        <v>225</v>
      </c>
      <c r="H81" s="3"/>
      <c r="I81" s="3">
        <f t="shared" si="65"/>
        <v>74</v>
      </c>
      <c r="J81" s="2">
        <v>70</v>
      </c>
      <c r="K81" s="13" t="s">
        <v>115</v>
      </c>
      <c r="L81" s="2" t="s">
        <v>6</v>
      </c>
    </row>
    <row r="82" spans="2:12" ht="15.6" x14ac:dyDescent="0.35">
      <c r="B82" t="str">
        <f t="shared" si="64"/>
        <v>KK</v>
      </c>
      <c r="C82" s="15" t="s">
        <v>236</v>
      </c>
      <c r="E82" s="16" t="s">
        <v>237</v>
      </c>
      <c r="F82" s="2" t="s">
        <v>290</v>
      </c>
      <c r="G82" s="2" t="s">
        <v>225</v>
      </c>
      <c r="H82" s="3"/>
      <c r="I82" s="3">
        <f t="shared" si="65"/>
        <v>75</v>
      </c>
      <c r="J82" s="2">
        <v>71</v>
      </c>
      <c r="K82" s="13" t="s">
        <v>116</v>
      </c>
      <c r="L82" s="2" t="s">
        <v>6</v>
      </c>
    </row>
    <row r="83" spans="2:12" ht="15.6" x14ac:dyDescent="0.35">
      <c r="B83" t="str">
        <f t="shared" si="64"/>
        <v>KK</v>
      </c>
      <c r="C83" s="16" t="s">
        <v>237</v>
      </c>
      <c r="E83" s="17" t="s">
        <v>39</v>
      </c>
      <c r="F83" s="2" t="s">
        <v>290</v>
      </c>
      <c r="G83" s="2" t="s">
        <v>225</v>
      </c>
      <c r="H83" s="3"/>
      <c r="I83" s="3">
        <f t="shared" si="65"/>
        <v>76</v>
      </c>
      <c r="J83" s="2">
        <v>72</v>
      </c>
      <c r="K83" s="13" t="s">
        <v>117</v>
      </c>
      <c r="L83" s="2" t="s">
        <v>6</v>
      </c>
    </row>
    <row r="84" spans="2:12" ht="15.6" x14ac:dyDescent="0.35">
      <c r="B84" t="str">
        <f t="shared" si="64"/>
        <v>KK</v>
      </c>
      <c r="C84" s="17" t="s">
        <v>39</v>
      </c>
      <c r="E84" s="18" t="s">
        <v>40</v>
      </c>
      <c r="F84" s="2" t="s">
        <v>290</v>
      </c>
      <c r="G84" s="2" t="s">
        <v>225</v>
      </c>
      <c r="H84" s="3"/>
      <c r="I84" s="3">
        <f t="shared" si="65"/>
        <v>77</v>
      </c>
      <c r="J84" s="2">
        <v>73</v>
      </c>
      <c r="K84" s="13" t="s">
        <v>118</v>
      </c>
      <c r="L84" s="2" t="s">
        <v>6</v>
      </c>
    </row>
    <row r="85" spans="2:12" ht="15.6" x14ac:dyDescent="0.35">
      <c r="B85" t="str">
        <f t="shared" si="64"/>
        <v>KK</v>
      </c>
      <c r="C85" s="18" t="s">
        <v>40</v>
      </c>
      <c r="E85" s="15" t="s">
        <v>238</v>
      </c>
      <c r="F85" s="2" t="s">
        <v>290</v>
      </c>
      <c r="G85" s="2" t="s">
        <v>225</v>
      </c>
      <c r="H85" s="3"/>
      <c r="I85" s="3">
        <f t="shared" si="65"/>
        <v>78</v>
      </c>
      <c r="J85" s="2">
        <v>74</v>
      </c>
      <c r="K85" s="13" t="s">
        <v>119</v>
      </c>
      <c r="L85" s="2" t="s">
        <v>6</v>
      </c>
    </row>
    <row r="86" spans="2:12" ht="15.6" x14ac:dyDescent="0.35">
      <c r="B86" t="str">
        <f t="shared" si="64"/>
        <v>KK</v>
      </c>
      <c r="C86" s="15" t="s">
        <v>238</v>
      </c>
      <c r="E86" s="16" t="s">
        <v>239</v>
      </c>
      <c r="F86" s="2" t="s">
        <v>290</v>
      </c>
      <c r="G86" s="2" t="s">
        <v>225</v>
      </c>
      <c r="H86" s="3"/>
      <c r="I86" s="3">
        <f t="shared" si="65"/>
        <v>79</v>
      </c>
      <c r="J86" s="2">
        <v>75</v>
      </c>
      <c r="K86" s="13" t="s">
        <v>120</v>
      </c>
      <c r="L86" s="2" t="s">
        <v>6</v>
      </c>
    </row>
    <row r="87" spans="2:12" ht="15.6" x14ac:dyDescent="0.35">
      <c r="B87" t="str">
        <f t="shared" si="64"/>
        <v>KK</v>
      </c>
      <c r="C87" s="16" t="s">
        <v>239</v>
      </c>
      <c r="E87" s="17" t="s">
        <v>41</v>
      </c>
      <c r="F87" s="2" t="s">
        <v>290</v>
      </c>
      <c r="G87" s="2" t="s">
        <v>225</v>
      </c>
      <c r="H87" s="3"/>
      <c r="I87" s="3">
        <f t="shared" si="65"/>
        <v>80</v>
      </c>
      <c r="J87" s="2">
        <v>76</v>
      </c>
      <c r="K87" s="13" t="s">
        <v>121</v>
      </c>
      <c r="L87" s="2" t="s">
        <v>6</v>
      </c>
    </row>
    <row r="88" spans="2:12" ht="15.6" x14ac:dyDescent="0.35">
      <c r="B88" t="str">
        <f t="shared" si="64"/>
        <v>KK</v>
      </c>
      <c r="C88" s="17" t="s">
        <v>41</v>
      </c>
      <c r="E88" s="18" t="s">
        <v>42</v>
      </c>
      <c r="F88" s="2" t="s">
        <v>290</v>
      </c>
      <c r="G88" s="2" t="s">
        <v>225</v>
      </c>
      <c r="H88" s="3"/>
      <c r="I88" s="3">
        <f t="shared" si="65"/>
        <v>81</v>
      </c>
      <c r="J88" s="2">
        <v>77</v>
      </c>
      <c r="K88" s="13" t="s">
        <v>122</v>
      </c>
      <c r="L88" s="2" t="s">
        <v>6</v>
      </c>
    </row>
    <row r="89" spans="2:12" ht="15.6" x14ac:dyDescent="0.35">
      <c r="B89" t="str">
        <f t="shared" si="64"/>
        <v>KK</v>
      </c>
      <c r="C89" s="18" t="s">
        <v>42</v>
      </c>
      <c r="E89" s="15" t="s">
        <v>240</v>
      </c>
      <c r="F89" s="2" t="s">
        <v>290</v>
      </c>
      <c r="G89" s="2" t="s">
        <v>225</v>
      </c>
      <c r="H89" s="3"/>
      <c r="I89" s="3">
        <f t="shared" si="65"/>
        <v>82</v>
      </c>
      <c r="J89" s="2">
        <v>78</v>
      </c>
      <c r="K89" s="13" t="s">
        <v>123</v>
      </c>
      <c r="L89" s="2" t="s">
        <v>6</v>
      </c>
    </row>
    <row r="90" spans="2:12" ht="15.6" x14ac:dyDescent="0.35">
      <c r="B90" t="str">
        <f t="shared" si="64"/>
        <v>KK</v>
      </c>
      <c r="C90" s="15" t="s">
        <v>240</v>
      </c>
      <c r="E90" s="16" t="s">
        <v>241</v>
      </c>
      <c r="F90" s="2" t="s">
        <v>290</v>
      </c>
      <c r="G90" s="2" t="s">
        <v>225</v>
      </c>
      <c r="H90" s="3"/>
      <c r="I90" s="3">
        <f t="shared" si="65"/>
        <v>83</v>
      </c>
      <c r="J90" s="2">
        <v>79</v>
      </c>
      <c r="K90" s="13" t="s">
        <v>124</v>
      </c>
      <c r="L90" s="2" t="s">
        <v>6</v>
      </c>
    </row>
    <row r="91" spans="2:12" ht="15.6" x14ac:dyDescent="0.35">
      <c r="B91" t="str">
        <f t="shared" si="64"/>
        <v>KK</v>
      </c>
      <c r="C91" s="16" t="s">
        <v>241</v>
      </c>
      <c r="E91" s="17" t="s">
        <v>43</v>
      </c>
      <c r="F91" s="2" t="s">
        <v>290</v>
      </c>
      <c r="G91" s="2" t="s">
        <v>225</v>
      </c>
      <c r="H91" s="3"/>
      <c r="I91" s="3">
        <f t="shared" si="65"/>
        <v>84</v>
      </c>
      <c r="J91" s="2">
        <v>80</v>
      </c>
      <c r="K91" s="13" t="s">
        <v>125</v>
      </c>
      <c r="L91" s="2" t="s">
        <v>6</v>
      </c>
    </row>
    <row r="92" spans="2:12" ht="15.6" x14ac:dyDescent="0.35">
      <c r="B92" t="str">
        <f t="shared" si="64"/>
        <v>KK</v>
      </c>
      <c r="C92" s="17" t="s">
        <v>43</v>
      </c>
      <c r="E92" s="18" t="s">
        <v>44</v>
      </c>
      <c r="F92" s="2" t="s">
        <v>290</v>
      </c>
      <c r="G92" s="2" t="s">
        <v>225</v>
      </c>
      <c r="H92" s="3"/>
      <c r="I92" s="3">
        <f t="shared" si="65"/>
        <v>85</v>
      </c>
      <c r="J92" s="2">
        <v>81</v>
      </c>
      <c r="K92" s="13" t="s">
        <v>126</v>
      </c>
      <c r="L92" s="2" t="s">
        <v>6</v>
      </c>
    </row>
    <row r="93" spans="2:12" ht="15.6" x14ac:dyDescent="0.35">
      <c r="B93" t="str">
        <f t="shared" si="64"/>
        <v>KK</v>
      </c>
      <c r="C93" s="18" t="s">
        <v>44</v>
      </c>
      <c r="E93" s="15" t="s">
        <v>242</v>
      </c>
      <c r="F93" s="2" t="s">
        <v>290</v>
      </c>
      <c r="G93" s="2" t="s">
        <v>225</v>
      </c>
      <c r="H93" s="3"/>
      <c r="I93" s="3">
        <f t="shared" si="65"/>
        <v>86</v>
      </c>
      <c r="J93" s="2">
        <v>82</v>
      </c>
      <c r="K93" s="13" t="s">
        <v>127</v>
      </c>
      <c r="L93" s="2" t="s">
        <v>6</v>
      </c>
    </row>
    <row r="94" spans="2:12" ht="15.6" x14ac:dyDescent="0.35">
      <c r="B94" t="str">
        <f t="shared" si="64"/>
        <v>KK</v>
      </c>
      <c r="C94" s="15" t="s">
        <v>242</v>
      </c>
      <c r="E94" s="16" t="s">
        <v>243</v>
      </c>
      <c r="F94" s="2" t="s">
        <v>290</v>
      </c>
      <c r="G94" s="2" t="s">
        <v>225</v>
      </c>
      <c r="H94" s="3"/>
      <c r="I94" s="3">
        <f t="shared" si="65"/>
        <v>87</v>
      </c>
      <c r="J94" s="2">
        <v>83</v>
      </c>
      <c r="K94" s="13" t="s">
        <v>128</v>
      </c>
      <c r="L94" s="2" t="s">
        <v>6</v>
      </c>
    </row>
    <row r="95" spans="2:12" ht="15.6" x14ac:dyDescent="0.35">
      <c r="B95" t="str">
        <f t="shared" si="64"/>
        <v>KK</v>
      </c>
      <c r="C95" s="16" t="s">
        <v>243</v>
      </c>
      <c r="E95" s="17" t="s">
        <v>45</v>
      </c>
      <c r="F95" s="2" t="s">
        <v>290</v>
      </c>
      <c r="G95" s="2" t="s">
        <v>225</v>
      </c>
      <c r="H95" s="3"/>
      <c r="I95" s="3">
        <f t="shared" si="65"/>
        <v>88</v>
      </c>
      <c r="J95" s="2">
        <v>84</v>
      </c>
      <c r="K95" s="13" t="s">
        <v>129</v>
      </c>
      <c r="L95" s="2" t="s">
        <v>6</v>
      </c>
    </row>
    <row r="96" spans="2:12" ht="15.6" x14ac:dyDescent="0.35">
      <c r="B96" t="str">
        <f t="shared" si="64"/>
        <v>KK</v>
      </c>
      <c r="C96" s="17" t="s">
        <v>45</v>
      </c>
      <c r="E96" s="18" t="s">
        <v>46</v>
      </c>
      <c r="F96" s="2" t="s">
        <v>290</v>
      </c>
      <c r="G96" s="2" t="s">
        <v>225</v>
      </c>
      <c r="H96" s="3"/>
      <c r="I96" s="3">
        <f t="shared" si="65"/>
        <v>89</v>
      </c>
      <c r="J96" s="2">
        <v>85</v>
      </c>
      <c r="K96" s="13" t="s">
        <v>130</v>
      </c>
      <c r="L96" s="2" t="s">
        <v>6</v>
      </c>
    </row>
    <row r="97" spans="2:12" ht="15.6" x14ac:dyDescent="0.35">
      <c r="B97" t="str">
        <f t="shared" si="64"/>
        <v>KK</v>
      </c>
      <c r="C97" s="18" t="s">
        <v>46</v>
      </c>
      <c r="E97" s="15" t="s">
        <v>244</v>
      </c>
      <c r="F97" s="2" t="s">
        <v>290</v>
      </c>
      <c r="G97" s="2" t="s">
        <v>225</v>
      </c>
      <c r="H97" s="3"/>
      <c r="I97" s="3">
        <f t="shared" si="65"/>
        <v>90</v>
      </c>
      <c r="J97" s="2">
        <v>86</v>
      </c>
      <c r="K97" s="13" t="s">
        <v>131</v>
      </c>
      <c r="L97" s="2" t="s">
        <v>6</v>
      </c>
    </row>
    <row r="98" spans="2:12" ht="15.6" x14ac:dyDescent="0.35">
      <c r="B98" t="str">
        <f t="shared" si="64"/>
        <v>KK</v>
      </c>
      <c r="C98" s="15" t="s">
        <v>244</v>
      </c>
      <c r="E98" s="16" t="s">
        <v>245</v>
      </c>
      <c r="F98" s="2" t="s">
        <v>290</v>
      </c>
      <c r="G98" s="2" t="s">
        <v>225</v>
      </c>
      <c r="H98" s="3"/>
      <c r="I98" s="3">
        <f t="shared" si="65"/>
        <v>91</v>
      </c>
      <c r="J98" s="2">
        <v>87</v>
      </c>
      <c r="K98" s="13" t="s">
        <v>132</v>
      </c>
      <c r="L98" s="2" t="s">
        <v>6</v>
      </c>
    </row>
    <row r="99" spans="2:12" ht="15.6" x14ac:dyDescent="0.35">
      <c r="B99" t="str">
        <f t="shared" si="64"/>
        <v>KK</v>
      </c>
      <c r="C99" s="16" t="s">
        <v>245</v>
      </c>
      <c r="E99" s="17" t="s">
        <v>47</v>
      </c>
      <c r="F99" s="2" t="s">
        <v>290</v>
      </c>
      <c r="G99" s="2" t="s">
        <v>225</v>
      </c>
      <c r="H99" s="3"/>
      <c r="I99" s="3">
        <f t="shared" si="65"/>
        <v>92</v>
      </c>
      <c r="J99" s="2">
        <v>88</v>
      </c>
      <c r="K99" s="13" t="s">
        <v>133</v>
      </c>
      <c r="L99" s="2" t="s">
        <v>6</v>
      </c>
    </row>
    <row r="100" spans="2:12" ht="15.6" x14ac:dyDescent="0.35">
      <c r="B100" t="str">
        <f t="shared" si="64"/>
        <v>KK</v>
      </c>
      <c r="C100" s="17" t="s">
        <v>47</v>
      </c>
      <c r="E100" s="18" t="s">
        <v>48</v>
      </c>
      <c r="F100" s="2" t="s">
        <v>290</v>
      </c>
      <c r="G100" s="2" t="s">
        <v>225</v>
      </c>
      <c r="H100" s="3"/>
      <c r="I100" s="3">
        <f t="shared" si="65"/>
        <v>93</v>
      </c>
      <c r="J100" s="2">
        <v>89</v>
      </c>
      <c r="K100" s="13" t="s">
        <v>134</v>
      </c>
      <c r="L100" s="2" t="s">
        <v>6</v>
      </c>
    </row>
    <row r="101" spans="2:12" ht="15.6" x14ac:dyDescent="0.35">
      <c r="B101" t="str">
        <f t="shared" si="64"/>
        <v>KK</v>
      </c>
      <c r="C101" s="18" t="s">
        <v>48</v>
      </c>
      <c r="E101" s="15" t="s">
        <v>246</v>
      </c>
      <c r="F101" s="2" t="s">
        <v>290</v>
      </c>
      <c r="G101" s="2" t="s">
        <v>225</v>
      </c>
      <c r="H101" s="3"/>
      <c r="I101" s="3">
        <f t="shared" si="65"/>
        <v>94</v>
      </c>
      <c r="J101" s="2">
        <v>90</v>
      </c>
      <c r="K101" s="13" t="s">
        <v>135</v>
      </c>
      <c r="L101" s="2" t="s">
        <v>6</v>
      </c>
    </row>
    <row r="102" spans="2:12" ht="15.6" x14ac:dyDescent="0.35">
      <c r="B102" t="str">
        <f t="shared" si="64"/>
        <v>KK</v>
      </c>
      <c r="C102" s="15" t="s">
        <v>246</v>
      </c>
      <c r="E102" s="16" t="s">
        <v>247</v>
      </c>
      <c r="F102" s="2" t="s">
        <v>290</v>
      </c>
      <c r="G102" s="2" t="s">
        <v>225</v>
      </c>
      <c r="H102" s="3"/>
      <c r="I102" s="3">
        <f t="shared" si="65"/>
        <v>95</v>
      </c>
      <c r="J102" s="2">
        <v>91</v>
      </c>
      <c r="K102" s="13" t="s">
        <v>136</v>
      </c>
      <c r="L102" s="2" t="s">
        <v>6</v>
      </c>
    </row>
    <row r="103" spans="2:12" ht="15.6" x14ac:dyDescent="0.35">
      <c r="B103" t="str">
        <f t="shared" si="64"/>
        <v>KK</v>
      </c>
      <c r="C103" s="16" t="s">
        <v>247</v>
      </c>
      <c r="E103" s="17" t="s">
        <v>49</v>
      </c>
      <c r="F103" s="2" t="s">
        <v>290</v>
      </c>
      <c r="G103" s="2" t="s">
        <v>225</v>
      </c>
      <c r="H103" s="3"/>
      <c r="I103" s="3">
        <f t="shared" si="65"/>
        <v>96</v>
      </c>
      <c r="J103" s="2">
        <v>92</v>
      </c>
      <c r="K103" s="13" t="s">
        <v>137</v>
      </c>
      <c r="L103" s="2" t="s">
        <v>6</v>
      </c>
    </row>
    <row r="104" spans="2:12" ht="15.6" x14ac:dyDescent="0.35">
      <c r="B104" t="str">
        <f t="shared" si="64"/>
        <v>KK</v>
      </c>
      <c r="C104" s="17" t="s">
        <v>49</v>
      </c>
      <c r="E104" s="18" t="s">
        <v>50</v>
      </c>
      <c r="F104" s="2" t="s">
        <v>290</v>
      </c>
      <c r="G104" s="2" t="s">
        <v>225</v>
      </c>
      <c r="H104" s="3"/>
      <c r="I104" s="3">
        <f t="shared" si="65"/>
        <v>97</v>
      </c>
      <c r="J104" s="2">
        <v>93</v>
      </c>
      <c r="K104" s="13" t="s">
        <v>138</v>
      </c>
      <c r="L104" s="2" t="s">
        <v>6</v>
      </c>
    </row>
    <row r="105" spans="2:12" ht="15.6" x14ac:dyDescent="0.35">
      <c r="B105" t="str">
        <f t="shared" si="64"/>
        <v>KK</v>
      </c>
      <c r="C105" s="18" t="s">
        <v>50</v>
      </c>
      <c r="E105" s="15" t="s">
        <v>248</v>
      </c>
      <c r="F105" s="2" t="s">
        <v>290</v>
      </c>
      <c r="G105" s="2" t="s">
        <v>225</v>
      </c>
      <c r="H105" s="3"/>
      <c r="I105" s="3">
        <f t="shared" si="65"/>
        <v>98</v>
      </c>
      <c r="J105" s="2">
        <v>94</v>
      </c>
      <c r="K105" s="13" t="s">
        <v>139</v>
      </c>
      <c r="L105" s="2" t="s">
        <v>6</v>
      </c>
    </row>
    <row r="106" spans="2:12" ht="15.6" x14ac:dyDescent="0.35">
      <c r="B106" t="str">
        <f t="shared" si="64"/>
        <v>KK</v>
      </c>
      <c r="C106" s="15" t="s">
        <v>248</v>
      </c>
      <c r="E106" s="16" t="s">
        <v>249</v>
      </c>
      <c r="F106" s="2" t="s">
        <v>290</v>
      </c>
      <c r="G106" s="2" t="s">
        <v>225</v>
      </c>
      <c r="H106" s="3"/>
      <c r="I106" s="3">
        <f t="shared" si="65"/>
        <v>99</v>
      </c>
      <c r="J106" s="2">
        <v>95</v>
      </c>
      <c r="K106" s="13" t="s">
        <v>140</v>
      </c>
      <c r="L106" s="2" t="s">
        <v>6</v>
      </c>
    </row>
    <row r="107" spans="2:12" ht="15.6" x14ac:dyDescent="0.35">
      <c r="B107" t="str">
        <f t="shared" si="64"/>
        <v>KK</v>
      </c>
      <c r="C107" s="16" t="s">
        <v>249</v>
      </c>
      <c r="E107" s="17" t="s">
        <v>51</v>
      </c>
      <c r="F107" s="2" t="s">
        <v>290</v>
      </c>
      <c r="G107" s="2" t="s">
        <v>225</v>
      </c>
      <c r="H107" s="3"/>
      <c r="I107" s="3">
        <f t="shared" si="65"/>
        <v>100</v>
      </c>
      <c r="J107" s="2">
        <v>96</v>
      </c>
      <c r="K107" s="13" t="s">
        <v>141</v>
      </c>
      <c r="L107" s="2" t="s">
        <v>6</v>
      </c>
    </row>
    <row r="108" spans="2:12" ht="15.6" x14ac:dyDescent="0.35">
      <c r="B108" t="str">
        <f t="shared" si="64"/>
        <v>KK</v>
      </c>
      <c r="C108" s="17" t="s">
        <v>51</v>
      </c>
      <c r="E108" s="18" t="s">
        <v>52</v>
      </c>
      <c r="F108" s="2" t="s">
        <v>290</v>
      </c>
      <c r="G108" s="2" t="s">
        <v>225</v>
      </c>
      <c r="H108" s="3"/>
      <c r="I108" s="3">
        <f t="shared" si="65"/>
        <v>101</v>
      </c>
      <c r="J108" s="2">
        <v>97</v>
      </c>
      <c r="K108" s="13" t="s">
        <v>142</v>
      </c>
      <c r="L108" s="2" t="s">
        <v>6</v>
      </c>
    </row>
    <row r="109" spans="2:12" ht="15.6" x14ac:dyDescent="0.35">
      <c r="B109" t="str">
        <f t="shared" si="64"/>
        <v>KK</v>
      </c>
      <c r="C109" s="18" t="s">
        <v>52</v>
      </c>
      <c r="E109" s="15" t="s">
        <v>250</v>
      </c>
      <c r="F109" s="2" t="s">
        <v>290</v>
      </c>
      <c r="G109" s="2" t="s">
        <v>225</v>
      </c>
      <c r="H109" s="3"/>
      <c r="I109" s="3">
        <f t="shared" si="65"/>
        <v>102</v>
      </c>
      <c r="J109" s="2">
        <v>98</v>
      </c>
      <c r="K109" s="13" t="s">
        <v>143</v>
      </c>
      <c r="L109" s="2" t="s">
        <v>6</v>
      </c>
    </row>
    <row r="110" spans="2:12" ht="15.6" x14ac:dyDescent="0.35">
      <c r="B110" t="str">
        <f t="shared" si="64"/>
        <v>KK</v>
      </c>
      <c r="C110" s="15" t="s">
        <v>250</v>
      </c>
      <c r="E110" s="16" t="s">
        <v>251</v>
      </c>
      <c r="F110" s="2" t="s">
        <v>290</v>
      </c>
      <c r="G110" s="2" t="s">
        <v>225</v>
      </c>
      <c r="H110" s="3"/>
      <c r="I110" s="3">
        <f t="shared" si="65"/>
        <v>103</v>
      </c>
      <c r="J110" s="2">
        <v>99</v>
      </c>
      <c r="K110" s="13" t="s">
        <v>144</v>
      </c>
      <c r="L110" s="2" t="s">
        <v>6</v>
      </c>
    </row>
    <row r="111" spans="2:12" ht="15.6" x14ac:dyDescent="0.35">
      <c r="B111" t="str">
        <f t="shared" si="64"/>
        <v>KK</v>
      </c>
      <c r="C111" s="16" t="s">
        <v>251</v>
      </c>
      <c r="E111" s="17" t="s">
        <v>53</v>
      </c>
      <c r="F111" s="2" t="s">
        <v>290</v>
      </c>
      <c r="G111" s="2" t="s">
        <v>225</v>
      </c>
      <c r="H111" s="3"/>
      <c r="I111" s="3">
        <f t="shared" si="65"/>
        <v>104</v>
      </c>
      <c r="J111" s="2">
        <v>100</v>
      </c>
      <c r="K111" s="13" t="s">
        <v>145</v>
      </c>
      <c r="L111" s="2" t="s">
        <v>6</v>
      </c>
    </row>
    <row r="112" spans="2:12" ht="15.6" x14ac:dyDescent="0.35">
      <c r="B112" t="str">
        <f t="shared" si="64"/>
        <v>KK</v>
      </c>
      <c r="C112" s="17" t="s">
        <v>53</v>
      </c>
      <c r="E112" s="18" t="s">
        <v>54</v>
      </c>
      <c r="F112" s="2" t="s">
        <v>290</v>
      </c>
      <c r="G112" s="2" t="s">
        <v>225</v>
      </c>
      <c r="H112" s="3"/>
      <c r="I112" s="3">
        <f t="shared" si="65"/>
        <v>105</v>
      </c>
      <c r="J112" s="2">
        <v>101</v>
      </c>
      <c r="K112" s="13" t="s">
        <v>146</v>
      </c>
      <c r="L112" s="2" t="s">
        <v>6</v>
      </c>
    </row>
    <row r="113" spans="2:12" ht="15.6" x14ac:dyDescent="0.35">
      <c r="B113" t="str">
        <f t="shared" si="64"/>
        <v>KK</v>
      </c>
      <c r="C113" s="18" t="s">
        <v>54</v>
      </c>
      <c r="E113" s="15" t="s">
        <v>252</v>
      </c>
      <c r="F113" s="2" t="s">
        <v>290</v>
      </c>
      <c r="G113" s="2" t="s">
        <v>225</v>
      </c>
      <c r="H113" s="3"/>
      <c r="I113" s="3">
        <f t="shared" si="65"/>
        <v>106</v>
      </c>
      <c r="J113" s="2">
        <v>102</v>
      </c>
      <c r="K113" s="13" t="s">
        <v>147</v>
      </c>
      <c r="L113" s="2" t="s">
        <v>6</v>
      </c>
    </row>
    <row r="114" spans="2:12" ht="15.6" x14ac:dyDescent="0.35">
      <c r="B114" t="str">
        <f t="shared" si="64"/>
        <v>KK</v>
      </c>
      <c r="C114" s="15" t="s">
        <v>252</v>
      </c>
      <c r="E114" s="16" t="s">
        <v>253</v>
      </c>
      <c r="F114" s="2" t="s">
        <v>290</v>
      </c>
      <c r="G114" s="2" t="s">
        <v>225</v>
      </c>
      <c r="H114" s="3"/>
      <c r="I114" s="3">
        <f t="shared" si="65"/>
        <v>107</v>
      </c>
      <c r="J114" s="2">
        <v>103</v>
      </c>
      <c r="K114" s="13" t="s">
        <v>148</v>
      </c>
      <c r="L114" s="2" t="s">
        <v>6</v>
      </c>
    </row>
    <row r="115" spans="2:12" ht="15.6" x14ac:dyDescent="0.35">
      <c r="B115" t="str">
        <f t="shared" si="64"/>
        <v>KK</v>
      </c>
      <c r="C115" s="16" t="s">
        <v>253</v>
      </c>
      <c r="E115" s="17" t="s">
        <v>55</v>
      </c>
      <c r="F115" s="2" t="s">
        <v>290</v>
      </c>
      <c r="G115" s="2" t="s">
        <v>225</v>
      </c>
      <c r="H115" s="3"/>
      <c r="I115" s="3">
        <f t="shared" si="65"/>
        <v>108</v>
      </c>
      <c r="J115" s="2">
        <v>104</v>
      </c>
      <c r="K115" s="13" t="s">
        <v>149</v>
      </c>
      <c r="L115" s="2" t="s">
        <v>6</v>
      </c>
    </row>
    <row r="116" spans="2:12" ht="15.6" x14ac:dyDescent="0.35">
      <c r="B116" t="str">
        <f t="shared" si="64"/>
        <v>KK</v>
      </c>
      <c r="C116" s="17" t="s">
        <v>55</v>
      </c>
      <c r="E116" s="18" t="s">
        <v>56</v>
      </c>
      <c r="F116" s="2" t="s">
        <v>290</v>
      </c>
      <c r="G116" s="2" t="s">
        <v>225</v>
      </c>
      <c r="H116" s="3"/>
      <c r="I116" s="3">
        <f t="shared" si="65"/>
        <v>109</v>
      </c>
      <c r="J116" s="2">
        <v>105</v>
      </c>
      <c r="K116" s="13" t="s">
        <v>150</v>
      </c>
      <c r="L116" s="2" t="s">
        <v>6</v>
      </c>
    </row>
    <row r="117" spans="2:12" ht="15.6" x14ac:dyDescent="0.35">
      <c r="B117" t="str">
        <f t="shared" si="64"/>
        <v>KK</v>
      </c>
      <c r="C117" s="18" t="s">
        <v>56</v>
      </c>
      <c r="E117" s="15" t="s">
        <v>254</v>
      </c>
      <c r="F117" s="2" t="s">
        <v>290</v>
      </c>
      <c r="G117" s="2" t="s">
        <v>225</v>
      </c>
      <c r="H117" s="3"/>
      <c r="I117" s="3">
        <f t="shared" si="65"/>
        <v>110</v>
      </c>
      <c r="J117" s="2">
        <v>106</v>
      </c>
      <c r="K117" s="13" t="s">
        <v>151</v>
      </c>
      <c r="L117" s="2" t="s">
        <v>6</v>
      </c>
    </row>
    <row r="118" spans="2:12" ht="15.6" x14ac:dyDescent="0.35">
      <c r="B118" t="str">
        <f t="shared" si="64"/>
        <v>KK</v>
      </c>
      <c r="C118" s="15" t="s">
        <v>254</v>
      </c>
      <c r="E118" s="16" t="s">
        <v>255</v>
      </c>
      <c r="F118" s="2" t="s">
        <v>290</v>
      </c>
      <c r="G118" s="2" t="s">
        <v>225</v>
      </c>
      <c r="H118" s="3"/>
      <c r="I118" s="3">
        <f t="shared" si="65"/>
        <v>111</v>
      </c>
      <c r="J118" s="2">
        <v>107</v>
      </c>
      <c r="K118" s="13" t="s">
        <v>152</v>
      </c>
      <c r="L118" s="2" t="s">
        <v>6</v>
      </c>
    </row>
    <row r="119" spans="2:12" ht="15.6" x14ac:dyDescent="0.35">
      <c r="B119" t="str">
        <f t="shared" si="64"/>
        <v>KK</v>
      </c>
      <c r="C119" s="16" t="s">
        <v>255</v>
      </c>
      <c r="E119" s="17" t="s">
        <v>57</v>
      </c>
      <c r="F119" s="2" t="s">
        <v>290</v>
      </c>
      <c r="G119" s="2" t="s">
        <v>225</v>
      </c>
      <c r="H119" s="3"/>
      <c r="I119" s="3">
        <f t="shared" si="65"/>
        <v>112</v>
      </c>
      <c r="J119" s="2">
        <v>108</v>
      </c>
      <c r="K119" s="13" t="s">
        <v>153</v>
      </c>
      <c r="L119" s="2" t="s">
        <v>6</v>
      </c>
    </row>
    <row r="120" spans="2:12" ht="15.6" x14ac:dyDescent="0.35">
      <c r="B120" t="str">
        <f t="shared" si="64"/>
        <v>KK</v>
      </c>
      <c r="C120" s="17" t="s">
        <v>57</v>
      </c>
      <c r="E120" s="18" t="s">
        <v>58</v>
      </c>
      <c r="F120" s="2" t="s">
        <v>290</v>
      </c>
      <c r="G120" s="2" t="s">
        <v>225</v>
      </c>
      <c r="H120" s="3"/>
      <c r="I120" s="3">
        <f t="shared" si="65"/>
        <v>113</v>
      </c>
      <c r="J120" s="2">
        <v>109</v>
      </c>
      <c r="K120" s="13" t="s">
        <v>154</v>
      </c>
      <c r="L120" s="2" t="s">
        <v>6</v>
      </c>
    </row>
    <row r="121" spans="2:12" ht="15.6" x14ac:dyDescent="0.35">
      <c r="B121" t="str">
        <f t="shared" si="64"/>
        <v>KK</v>
      </c>
      <c r="C121" s="18" t="s">
        <v>58</v>
      </c>
      <c r="E121" s="15" t="s">
        <v>256</v>
      </c>
      <c r="F121" s="2" t="s">
        <v>290</v>
      </c>
      <c r="G121" s="2" t="s">
        <v>225</v>
      </c>
      <c r="H121" s="3"/>
      <c r="I121" s="3">
        <f t="shared" si="65"/>
        <v>114</v>
      </c>
      <c r="J121" s="2">
        <v>110</v>
      </c>
      <c r="K121" s="13" t="s">
        <v>155</v>
      </c>
      <c r="L121" s="2" t="s">
        <v>6</v>
      </c>
    </row>
    <row r="122" spans="2:12" ht="15.6" x14ac:dyDescent="0.35">
      <c r="B122" t="str">
        <f t="shared" si="64"/>
        <v>KK</v>
      </c>
      <c r="C122" s="15" t="s">
        <v>256</v>
      </c>
      <c r="E122" s="16" t="s">
        <v>257</v>
      </c>
      <c r="F122" s="2" t="s">
        <v>290</v>
      </c>
      <c r="G122" s="2" t="s">
        <v>225</v>
      </c>
      <c r="H122" s="3"/>
      <c r="I122" s="3">
        <f t="shared" si="65"/>
        <v>115</v>
      </c>
      <c r="J122" s="2">
        <v>111</v>
      </c>
      <c r="K122" s="13" t="s">
        <v>156</v>
      </c>
      <c r="L122" s="2" t="s">
        <v>6</v>
      </c>
    </row>
    <row r="123" spans="2:12" ht="15.6" x14ac:dyDescent="0.35">
      <c r="B123" t="str">
        <f t="shared" si="64"/>
        <v>KK</v>
      </c>
      <c r="C123" s="16" t="s">
        <v>257</v>
      </c>
      <c r="E123" s="17" t="s">
        <v>59</v>
      </c>
      <c r="F123" s="2" t="s">
        <v>290</v>
      </c>
      <c r="G123" s="2" t="s">
        <v>225</v>
      </c>
      <c r="H123" s="3"/>
      <c r="I123" s="3">
        <f t="shared" si="65"/>
        <v>116</v>
      </c>
      <c r="J123" s="2">
        <v>112</v>
      </c>
      <c r="K123" s="13" t="s">
        <v>157</v>
      </c>
      <c r="L123" s="2" t="s">
        <v>6</v>
      </c>
    </row>
    <row r="124" spans="2:12" ht="15.6" x14ac:dyDescent="0.35">
      <c r="B124" t="str">
        <f t="shared" si="64"/>
        <v>KK</v>
      </c>
      <c r="C124" s="17" t="s">
        <v>59</v>
      </c>
      <c r="E124" s="18" t="s">
        <v>60</v>
      </c>
      <c r="F124" s="2" t="s">
        <v>290</v>
      </c>
      <c r="G124" s="2" t="s">
        <v>225</v>
      </c>
      <c r="H124" s="3"/>
      <c r="I124" s="3">
        <f t="shared" si="65"/>
        <v>117</v>
      </c>
      <c r="J124" s="2">
        <v>113</v>
      </c>
      <c r="K124" s="13" t="s">
        <v>158</v>
      </c>
      <c r="L124" s="2" t="s">
        <v>6</v>
      </c>
    </row>
    <row r="125" spans="2:12" ht="15.6" x14ac:dyDescent="0.35">
      <c r="B125" t="str">
        <f t="shared" si="64"/>
        <v>KK</v>
      </c>
      <c r="C125" s="18" t="s">
        <v>60</v>
      </c>
      <c r="E125" s="15" t="s">
        <v>258</v>
      </c>
      <c r="F125" s="2" t="s">
        <v>290</v>
      </c>
      <c r="G125" s="2" t="s">
        <v>225</v>
      </c>
      <c r="H125" s="3"/>
      <c r="I125" s="3">
        <f t="shared" si="65"/>
        <v>118</v>
      </c>
      <c r="J125" s="2">
        <v>114</v>
      </c>
      <c r="K125" s="13" t="s">
        <v>159</v>
      </c>
      <c r="L125" s="2" t="s">
        <v>6</v>
      </c>
    </row>
    <row r="126" spans="2:12" ht="15.6" x14ac:dyDescent="0.35">
      <c r="B126" t="str">
        <f t="shared" si="64"/>
        <v>KK</v>
      </c>
      <c r="C126" s="15" t="s">
        <v>258</v>
      </c>
      <c r="E126" s="16" t="s">
        <v>259</v>
      </c>
      <c r="F126" s="2" t="s">
        <v>290</v>
      </c>
      <c r="G126" s="2" t="s">
        <v>225</v>
      </c>
      <c r="H126" s="3"/>
      <c r="I126" s="3">
        <f t="shared" si="65"/>
        <v>119</v>
      </c>
      <c r="J126" s="2">
        <v>115</v>
      </c>
      <c r="K126" s="13" t="s">
        <v>160</v>
      </c>
      <c r="L126" s="2" t="s">
        <v>6</v>
      </c>
    </row>
    <row r="127" spans="2:12" ht="15.6" x14ac:dyDescent="0.35">
      <c r="B127" t="str">
        <f t="shared" si="64"/>
        <v>KK</v>
      </c>
      <c r="C127" s="16" t="s">
        <v>259</v>
      </c>
      <c r="E127" s="17" t="s">
        <v>61</v>
      </c>
      <c r="F127" s="2" t="s">
        <v>290</v>
      </c>
      <c r="G127" s="2" t="s">
        <v>225</v>
      </c>
      <c r="H127" s="3"/>
      <c r="I127" s="3">
        <f t="shared" si="65"/>
        <v>120</v>
      </c>
      <c r="J127" s="2">
        <v>116</v>
      </c>
      <c r="K127" s="13" t="s">
        <v>161</v>
      </c>
      <c r="L127" s="2" t="s">
        <v>6</v>
      </c>
    </row>
    <row r="128" spans="2:12" ht="15.6" x14ac:dyDescent="0.35">
      <c r="B128" t="str">
        <f t="shared" si="64"/>
        <v>KK</v>
      </c>
      <c r="C128" s="17" t="s">
        <v>61</v>
      </c>
      <c r="E128" s="18" t="s">
        <v>62</v>
      </c>
      <c r="F128" s="2" t="s">
        <v>290</v>
      </c>
      <c r="G128" s="2" t="s">
        <v>225</v>
      </c>
      <c r="H128" s="3"/>
      <c r="I128" s="3">
        <f t="shared" si="65"/>
        <v>121</v>
      </c>
      <c r="J128" s="2">
        <v>117</v>
      </c>
      <c r="K128" s="13" t="s">
        <v>162</v>
      </c>
      <c r="L128" s="2" t="s">
        <v>6</v>
      </c>
    </row>
    <row r="129" spans="2:12" ht="15.6" x14ac:dyDescent="0.35">
      <c r="B129" t="str">
        <f t="shared" si="64"/>
        <v>KK</v>
      </c>
      <c r="C129" s="18" t="s">
        <v>62</v>
      </c>
      <c r="E129" s="15" t="s">
        <v>260</v>
      </c>
      <c r="F129" s="2" t="s">
        <v>290</v>
      </c>
      <c r="G129" s="2" t="s">
        <v>225</v>
      </c>
      <c r="H129" s="3"/>
      <c r="I129" s="3">
        <f t="shared" si="65"/>
        <v>122</v>
      </c>
      <c r="J129" s="2">
        <v>118</v>
      </c>
      <c r="K129" s="13" t="s">
        <v>163</v>
      </c>
      <c r="L129" s="2" t="s">
        <v>6</v>
      </c>
    </row>
    <row r="130" spans="2:12" ht="15.6" x14ac:dyDescent="0.35">
      <c r="B130" t="str">
        <f t="shared" si="64"/>
        <v>KK</v>
      </c>
      <c r="C130" s="15" t="s">
        <v>260</v>
      </c>
      <c r="E130" s="16" t="s">
        <v>261</v>
      </c>
      <c r="F130" s="2" t="s">
        <v>290</v>
      </c>
      <c r="G130" s="2" t="s">
        <v>225</v>
      </c>
      <c r="H130" s="3"/>
      <c r="I130" s="3">
        <f t="shared" si="65"/>
        <v>123</v>
      </c>
      <c r="J130" s="2">
        <v>119</v>
      </c>
      <c r="K130" s="13" t="s">
        <v>164</v>
      </c>
      <c r="L130" s="2" t="s">
        <v>6</v>
      </c>
    </row>
    <row r="131" spans="2:12" ht="15.6" x14ac:dyDescent="0.35">
      <c r="B131" t="str">
        <f t="shared" si="64"/>
        <v>KK</v>
      </c>
      <c r="C131" s="16" t="s">
        <v>261</v>
      </c>
      <c r="E131" s="17" t="s">
        <v>63</v>
      </c>
      <c r="F131" s="2" t="s">
        <v>290</v>
      </c>
      <c r="G131" s="2" t="s">
        <v>225</v>
      </c>
      <c r="H131" s="3"/>
      <c r="I131" s="3">
        <f t="shared" si="65"/>
        <v>124</v>
      </c>
      <c r="J131" s="2">
        <v>120</v>
      </c>
      <c r="K131" s="13" t="s">
        <v>165</v>
      </c>
      <c r="L131" s="2" t="s">
        <v>6</v>
      </c>
    </row>
    <row r="132" spans="2:12" ht="15.6" x14ac:dyDescent="0.35">
      <c r="B132" t="str">
        <f t="shared" si="64"/>
        <v>KK</v>
      </c>
      <c r="C132" s="17" t="s">
        <v>63</v>
      </c>
      <c r="E132" s="18" t="s">
        <v>64</v>
      </c>
      <c r="F132" s="2" t="s">
        <v>290</v>
      </c>
      <c r="G132" s="2" t="s">
        <v>225</v>
      </c>
      <c r="H132" s="3"/>
      <c r="I132" s="3">
        <f t="shared" si="65"/>
        <v>125</v>
      </c>
      <c r="J132" s="2">
        <v>121</v>
      </c>
      <c r="K132" s="13" t="s">
        <v>166</v>
      </c>
      <c r="L132" s="2" t="s">
        <v>6</v>
      </c>
    </row>
    <row r="133" spans="2:12" ht="15.6" x14ac:dyDescent="0.35">
      <c r="B133" t="str">
        <f t="shared" si="64"/>
        <v>KK</v>
      </c>
      <c r="C133" s="18" t="s">
        <v>64</v>
      </c>
      <c r="E133" s="15" t="s">
        <v>262</v>
      </c>
      <c r="F133" s="2" t="s">
        <v>290</v>
      </c>
      <c r="G133" s="2" t="s">
        <v>225</v>
      </c>
      <c r="H133" s="3"/>
      <c r="I133" s="3">
        <f t="shared" si="65"/>
        <v>126</v>
      </c>
      <c r="J133" s="2">
        <v>122</v>
      </c>
      <c r="K133" s="13" t="s">
        <v>167</v>
      </c>
      <c r="L133" s="2" t="s">
        <v>6</v>
      </c>
    </row>
    <row r="134" spans="2:12" ht="15.6" x14ac:dyDescent="0.35">
      <c r="B134" t="str">
        <f t="shared" si="64"/>
        <v>KK</v>
      </c>
      <c r="C134" s="15" t="s">
        <v>262</v>
      </c>
      <c r="E134" s="16" t="s">
        <v>263</v>
      </c>
      <c r="F134" s="2" t="s">
        <v>290</v>
      </c>
      <c r="G134" s="2" t="s">
        <v>225</v>
      </c>
      <c r="H134" s="3"/>
      <c r="I134" s="3">
        <f t="shared" si="65"/>
        <v>127</v>
      </c>
      <c r="J134" s="2">
        <v>123</v>
      </c>
      <c r="K134" s="13" t="s">
        <v>168</v>
      </c>
      <c r="L134" s="2" t="s">
        <v>6</v>
      </c>
    </row>
    <row r="135" spans="2:12" ht="15.6" x14ac:dyDescent="0.35">
      <c r="B135" t="str">
        <f t="shared" si="64"/>
        <v>KK</v>
      </c>
      <c r="C135" s="16" t="s">
        <v>263</v>
      </c>
      <c r="E135" s="17" t="s">
        <v>65</v>
      </c>
      <c r="F135" s="2" t="s">
        <v>290</v>
      </c>
      <c r="G135" s="2" t="s">
        <v>225</v>
      </c>
      <c r="H135" s="3"/>
      <c r="I135" s="3">
        <f t="shared" si="65"/>
        <v>128</v>
      </c>
      <c r="J135" s="2">
        <v>124</v>
      </c>
      <c r="K135" s="13" t="s">
        <v>169</v>
      </c>
      <c r="L135" s="2" t="s">
        <v>6</v>
      </c>
    </row>
    <row r="136" spans="2:12" ht="15.6" x14ac:dyDescent="0.35">
      <c r="B136" t="str">
        <f t="shared" si="64"/>
        <v>KK</v>
      </c>
      <c r="C136" s="17" t="s">
        <v>65</v>
      </c>
      <c r="E136" s="18" t="s">
        <v>66</v>
      </c>
      <c r="F136" s="2" t="s">
        <v>290</v>
      </c>
      <c r="G136" s="2" t="s">
        <v>225</v>
      </c>
      <c r="H136" s="3"/>
      <c r="I136" s="3">
        <f t="shared" si="65"/>
        <v>129</v>
      </c>
      <c r="J136" s="2">
        <v>125</v>
      </c>
      <c r="K136" s="13" t="s">
        <v>170</v>
      </c>
      <c r="L136" s="2" t="s">
        <v>6</v>
      </c>
    </row>
    <row r="137" spans="2:12" ht="15.6" x14ac:dyDescent="0.35">
      <c r="B137" t="str">
        <f t="shared" si="64"/>
        <v>KK</v>
      </c>
      <c r="C137" s="18" t="s">
        <v>66</v>
      </c>
      <c r="E137" s="15" t="s">
        <v>264</v>
      </c>
      <c r="F137" s="2" t="s">
        <v>290</v>
      </c>
      <c r="G137" s="2" t="s">
        <v>225</v>
      </c>
      <c r="H137" s="3"/>
      <c r="I137" s="3">
        <f t="shared" si="65"/>
        <v>130</v>
      </c>
      <c r="J137" s="2">
        <v>126</v>
      </c>
      <c r="K137" s="13" t="s">
        <v>171</v>
      </c>
      <c r="L137" s="2" t="s">
        <v>6</v>
      </c>
    </row>
    <row r="138" spans="2:12" ht="15.6" x14ac:dyDescent="0.35">
      <c r="B138" t="str">
        <f t="shared" si="64"/>
        <v>KK</v>
      </c>
      <c r="C138" s="15" t="s">
        <v>264</v>
      </c>
      <c r="E138" s="16" t="s">
        <v>265</v>
      </c>
      <c r="F138" s="2" t="s">
        <v>290</v>
      </c>
      <c r="G138" s="2" t="s">
        <v>225</v>
      </c>
      <c r="H138" s="3"/>
      <c r="I138" s="3">
        <f t="shared" si="65"/>
        <v>131</v>
      </c>
      <c r="J138" s="2">
        <v>127</v>
      </c>
      <c r="K138" s="13" t="s">
        <v>172</v>
      </c>
      <c r="L138" s="2" t="s">
        <v>6</v>
      </c>
    </row>
    <row r="139" spans="2:12" ht="15.6" x14ac:dyDescent="0.35">
      <c r="B139" t="str">
        <f t="shared" ref="B139:B189" si="66">IF(C139=E139,"OK","KK")</f>
        <v>KK</v>
      </c>
      <c r="C139" s="16" t="s">
        <v>265</v>
      </c>
      <c r="E139" s="17" t="s">
        <v>67</v>
      </c>
      <c r="F139" s="2" t="s">
        <v>290</v>
      </c>
      <c r="G139" s="2" t="s">
        <v>225</v>
      </c>
      <c r="H139" s="3"/>
      <c r="I139" s="3">
        <f t="shared" si="65"/>
        <v>132</v>
      </c>
      <c r="J139" s="2">
        <v>128</v>
      </c>
      <c r="K139" s="13" t="s">
        <v>173</v>
      </c>
      <c r="L139" s="2" t="s">
        <v>6</v>
      </c>
    </row>
    <row r="140" spans="2:12" ht="15.6" x14ac:dyDescent="0.35">
      <c r="B140" t="str">
        <f t="shared" si="66"/>
        <v>KK</v>
      </c>
      <c r="C140" s="17" t="s">
        <v>67</v>
      </c>
      <c r="E140" s="18" t="s">
        <v>68</v>
      </c>
      <c r="F140" s="2" t="s">
        <v>290</v>
      </c>
      <c r="G140" s="2" t="s">
        <v>225</v>
      </c>
      <c r="H140" s="3"/>
      <c r="I140" s="3">
        <f t="shared" ref="I140:I189" si="67">I139+1</f>
        <v>133</v>
      </c>
      <c r="J140" s="2">
        <v>129</v>
      </c>
      <c r="K140" s="13" t="s">
        <v>174</v>
      </c>
      <c r="L140" s="2" t="s">
        <v>6</v>
      </c>
    </row>
    <row r="141" spans="2:12" ht="15.6" x14ac:dyDescent="0.35">
      <c r="B141" t="str">
        <f t="shared" si="66"/>
        <v>KK</v>
      </c>
      <c r="C141" s="18" t="s">
        <v>68</v>
      </c>
      <c r="E141" s="15" t="s">
        <v>266</v>
      </c>
      <c r="F141" s="2" t="s">
        <v>290</v>
      </c>
      <c r="G141" s="2" t="s">
        <v>225</v>
      </c>
      <c r="H141" s="3"/>
      <c r="I141" s="3">
        <f t="shared" si="67"/>
        <v>134</v>
      </c>
      <c r="J141" s="2">
        <v>130</v>
      </c>
      <c r="K141" s="13" t="s">
        <v>175</v>
      </c>
      <c r="L141" s="2" t="s">
        <v>6</v>
      </c>
    </row>
    <row r="142" spans="2:12" ht="15.6" x14ac:dyDescent="0.35">
      <c r="B142" t="str">
        <f t="shared" si="66"/>
        <v>KK</v>
      </c>
      <c r="C142" s="15" t="s">
        <v>266</v>
      </c>
      <c r="E142" s="16" t="s">
        <v>267</v>
      </c>
      <c r="F142" s="2" t="s">
        <v>290</v>
      </c>
      <c r="G142" s="2" t="s">
        <v>225</v>
      </c>
      <c r="H142" s="3"/>
      <c r="I142" s="3">
        <f t="shared" si="67"/>
        <v>135</v>
      </c>
      <c r="J142" s="2">
        <v>131</v>
      </c>
      <c r="K142" s="13" t="s">
        <v>176</v>
      </c>
      <c r="L142" s="2" t="s">
        <v>6</v>
      </c>
    </row>
    <row r="143" spans="2:12" ht="15.6" x14ac:dyDescent="0.35">
      <c r="B143" t="str">
        <f t="shared" si="66"/>
        <v>KK</v>
      </c>
      <c r="C143" s="16" t="s">
        <v>267</v>
      </c>
      <c r="E143" s="17" t="s">
        <v>69</v>
      </c>
      <c r="F143" s="2" t="s">
        <v>290</v>
      </c>
      <c r="G143" s="2" t="s">
        <v>225</v>
      </c>
      <c r="H143" s="3"/>
      <c r="I143" s="3">
        <f t="shared" si="67"/>
        <v>136</v>
      </c>
      <c r="J143" s="2">
        <v>132</v>
      </c>
      <c r="K143" s="13" t="s">
        <v>177</v>
      </c>
      <c r="L143" s="2" t="s">
        <v>6</v>
      </c>
    </row>
    <row r="144" spans="2:12" ht="15.6" x14ac:dyDescent="0.35">
      <c r="B144" t="str">
        <f t="shared" si="66"/>
        <v>KK</v>
      </c>
      <c r="C144" s="17" t="s">
        <v>69</v>
      </c>
      <c r="E144" s="18" t="s">
        <v>70</v>
      </c>
      <c r="F144" s="2" t="s">
        <v>290</v>
      </c>
      <c r="G144" s="2" t="s">
        <v>225</v>
      </c>
      <c r="H144" s="3"/>
      <c r="I144" s="3">
        <f t="shared" si="67"/>
        <v>137</v>
      </c>
      <c r="J144" s="2">
        <v>133</v>
      </c>
      <c r="K144" s="13" t="s">
        <v>178</v>
      </c>
      <c r="L144" s="2" t="s">
        <v>6</v>
      </c>
    </row>
    <row r="145" spans="2:12" ht="15.6" x14ac:dyDescent="0.35">
      <c r="B145" t="str">
        <f t="shared" si="66"/>
        <v>KK</v>
      </c>
      <c r="C145" s="18" t="s">
        <v>70</v>
      </c>
      <c r="E145" s="15" t="s">
        <v>268</v>
      </c>
      <c r="F145" s="2" t="s">
        <v>290</v>
      </c>
      <c r="G145" s="2" t="s">
        <v>225</v>
      </c>
      <c r="H145" s="3"/>
      <c r="I145" s="3">
        <f t="shared" si="67"/>
        <v>138</v>
      </c>
      <c r="J145" s="2">
        <v>134</v>
      </c>
      <c r="K145" s="13" t="s">
        <v>179</v>
      </c>
      <c r="L145" s="2" t="s">
        <v>6</v>
      </c>
    </row>
    <row r="146" spans="2:12" ht="15.6" x14ac:dyDescent="0.35">
      <c r="B146" t="str">
        <f t="shared" si="66"/>
        <v>KK</v>
      </c>
      <c r="C146" s="15" t="s">
        <v>268</v>
      </c>
      <c r="E146" s="16" t="s">
        <v>269</v>
      </c>
      <c r="F146" s="2" t="s">
        <v>290</v>
      </c>
      <c r="G146" s="2" t="s">
        <v>225</v>
      </c>
      <c r="H146" s="3"/>
      <c r="I146" s="3">
        <f t="shared" si="67"/>
        <v>139</v>
      </c>
      <c r="J146" s="2">
        <v>135</v>
      </c>
      <c r="K146" s="13" t="s">
        <v>180</v>
      </c>
      <c r="L146" s="2" t="s">
        <v>6</v>
      </c>
    </row>
    <row r="147" spans="2:12" ht="15.6" x14ac:dyDescent="0.35">
      <c r="B147" t="str">
        <f t="shared" si="66"/>
        <v>KK</v>
      </c>
      <c r="C147" s="16" t="s">
        <v>269</v>
      </c>
      <c r="E147" s="17" t="s">
        <v>71</v>
      </c>
      <c r="F147" s="2" t="s">
        <v>290</v>
      </c>
      <c r="G147" s="2" t="s">
        <v>225</v>
      </c>
      <c r="H147" s="3"/>
      <c r="I147" s="3">
        <f t="shared" si="67"/>
        <v>140</v>
      </c>
      <c r="J147" s="2">
        <v>136</v>
      </c>
      <c r="K147" s="13" t="s">
        <v>181</v>
      </c>
      <c r="L147" s="2" t="s">
        <v>6</v>
      </c>
    </row>
    <row r="148" spans="2:12" ht="15.6" x14ac:dyDescent="0.35">
      <c r="B148" t="str">
        <f t="shared" si="66"/>
        <v>KK</v>
      </c>
      <c r="C148" s="17" t="s">
        <v>71</v>
      </c>
      <c r="E148" s="18" t="s">
        <v>72</v>
      </c>
      <c r="F148" s="2" t="s">
        <v>290</v>
      </c>
      <c r="G148" s="2" t="s">
        <v>225</v>
      </c>
      <c r="H148" s="3"/>
      <c r="I148" s="3">
        <f t="shared" si="67"/>
        <v>141</v>
      </c>
      <c r="J148" s="2">
        <v>137</v>
      </c>
      <c r="K148" s="13" t="s">
        <v>182</v>
      </c>
      <c r="L148" s="2" t="s">
        <v>6</v>
      </c>
    </row>
    <row r="149" spans="2:12" ht="15.6" x14ac:dyDescent="0.35">
      <c r="B149" t="str">
        <f t="shared" si="66"/>
        <v>KK</v>
      </c>
      <c r="C149" s="18" t="s">
        <v>72</v>
      </c>
      <c r="E149" s="15" t="s">
        <v>270</v>
      </c>
      <c r="F149" s="2" t="s">
        <v>290</v>
      </c>
      <c r="G149" s="2" t="s">
        <v>225</v>
      </c>
      <c r="H149" s="3"/>
      <c r="I149" s="3">
        <f t="shared" si="67"/>
        <v>142</v>
      </c>
      <c r="J149" s="2">
        <v>138</v>
      </c>
      <c r="K149" s="13" t="s">
        <v>183</v>
      </c>
      <c r="L149" s="2" t="s">
        <v>6</v>
      </c>
    </row>
    <row r="150" spans="2:12" ht="15.6" x14ac:dyDescent="0.35">
      <c r="B150" t="str">
        <f t="shared" si="66"/>
        <v>KK</v>
      </c>
      <c r="C150" s="15" t="s">
        <v>270</v>
      </c>
      <c r="E150" s="16" t="s">
        <v>271</v>
      </c>
      <c r="F150" s="2" t="s">
        <v>290</v>
      </c>
      <c r="G150" s="2" t="s">
        <v>225</v>
      </c>
      <c r="H150" s="3"/>
      <c r="I150" s="3">
        <f t="shared" si="67"/>
        <v>143</v>
      </c>
      <c r="J150" s="2">
        <v>139</v>
      </c>
      <c r="K150" s="13" t="s">
        <v>184</v>
      </c>
      <c r="L150" s="2" t="s">
        <v>6</v>
      </c>
    </row>
    <row r="151" spans="2:12" ht="15.6" x14ac:dyDescent="0.35">
      <c r="B151" t="str">
        <f t="shared" si="66"/>
        <v>KK</v>
      </c>
      <c r="C151" s="16" t="s">
        <v>271</v>
      </c>
      <c r="E151" s="17" t="s">
        <v>73</v>
      </c>
      <c r="F151" s="2" t="s">
        <v>290</v>
      </c>
      <c r="G151" s="2" t="s">
        <v>225</v>
      </c>
      <c r="H151" s="3"/>
      <c r="I151" s="3">
        <f t="shared" si="67"/>
        <v>144</v>
      </c>
      <c r="J151" s="2">
        <v>140</v>
      </c>
      <c r="K151" s="13" t="s">
        <v>185</v>
      </c>
      <c r="L151" s="2" t="s">
        <v>6</v>
      </c>
    </row>
    <row r="152" spans="2:12" ht="15.6" x14ac:dyDescent="0.35">
      <c r="B152" t="str">
        <f t="shared" si="66"/>
        <v>KK</v>
      </c>
      <c r="C152" s="17" t="s">
        <v>73</v>
      </c>
      <c r="E152" s="18" t="s">
        <v>74</v>
      </c>
      <c r="F152" s="2" t="s">
        <v>290</v>
      </c>
      <c r="G152" s="2" t="s">
        <v>225</v>
      </c>
      <c r="H152" s="3"/>
      <c r="I152" s="3">
        <f t="shared" si="67"/>
        <v>145</v>
      </c>
      <c r="J152" s="2">
        <v>141</v>
      </c>
      <c r="K152" s="13" t="s">
        <v>186</v>
      </c>
      <c r="L152" s="2" t="s">
        <v>6</v>
      </c>
    </row>
    <row r="153" spans="2:12" ht="15.6" x14ac:dyDescent="0.35">
      <c r="B153" t="str">
        <f t="shared" si="66"/>
        <v>KK</v>
      </c>
      <c r="C153" s="18" t="s">
        <v>74</v>
      </c>
      <c r="E153" s="15" t="s">
        <v>272</v>
      </c>
      <c r="F153" s="2" t="s">
        <v>290</v>
      </c>
      <c r="G153" s="2" t="s">
        <v>225</v>
      </c>
      <c r="H153" s="3"/>
      <c r="I153" s="3">
        <f t="shared" si="67"/>
        <v>146</v>
      </c>
      <c r="J153" s="2">
        <v>142</v>
      </c>
      <c r="K153" s="13" t="s">
        <v>187</v>
      </c>
      <c r="L153" s="2" t="s">
        <v>6</v>
      </c>
    </row>
    <row r="154" spans="2:12" ht="15.6" x14ac:dyDescent="0.35">
      <c r="B154" t="str">
        <f t="shared" si="66"/>
        <v>KK</v>
      </c>
      <c r="C154" s="15" t="s">
        <v>272</v>
      </c>
      <c r="E154" s="16" t="s">
        <v>273</v>
      </c>
      <c r="F154" s="2" t="s">
        <v>290</v>
      </c>
      <c r="G154" s="2" t="s">
        <v>225</v>
      </c>
      <c r="H154" s="3"/>
      <c r="I154" s="3">
        <f t="shared" si="67"/>
        <v>147</v>
      </c>
      <c r="J154" s="2">
        <v>143</v>
      </c>
      <c r="K154" s="13" t="s">
        <v>188</v>
      </c>
      <c r="L154" s="2" t="s">
        <v>6</v>
      </c>
    </row>
    <row r="155" spans="2:12" ht="15.6" x14ac:dyDescent="0.35">
      <c r="B155" t="str">
        <f t="shared" si="66"/>
        <v>KK</v>
      </c>
      <c r="C155" s="16" t="s">
        <v>273</v>
      </c>
      <c r="E155" s="17" t="s">
        <v>75</v>
      </c>
      <c r="F155" s="2" t="s">
        <v>290</v>
      </c>
      <c r="G155" s="2" t="s">
        <v>225</v>
      </c>
      <c r="H155" s="3"/>
      <c r="I155" s="3">
        <f t="shared" si="67"/>
        <v>148</v>
      </c>
      <c r="J155" s="2">
        <v>144</v>
      </c>
      <c r="K155" s="13" t="s">
        <v>189</v>
      </c>
      <c r="L155" s="2" t="s">
        <v>6</v>
      </c>
    </row>
    <row r="156" spans="2:12" ht="15.6" x14ac:dyDescent="0.35">
      <c r="B156" t="str">
        <f t="shared" si="66"/>
        <v>KK</v>
      </c>
      <c r="C156" s="17" t="s">
        <v>75</v>
      </c>
      <c r="E156" s="18" t="s">
        <v>76</v>
      </c>
      <c r="F156" s="2" t="s">
        <v>290</v>
      </c>
      <c r="G156" s="2" t="s">
        <v>225</v>
      </c>
      <c r="H156" s="3"/>
      <c r="I156" s="3">
        <f t="shared" si="67"/>
        <v>149</v>
      </c>
      <c r="J156" s="2">
        <v>145</v>
      </c>
      <c r="K156" s="13" t="s">
        <v>190</v>
      </c>
      <c r="L156" s="2" t="s">
        <v>6</v>
      </c>
    </row>
    <row r="157" spans="2:12" ht="15.6" x14ac:dyDescent="0.35">
      <c r="B157" t="str">
        <f t="shared" si="66"/>
        <v>KK</v>
      </c>
      <c r="C157" s="18" t="s">
        <v>76</v>
      </c>
      <c r="E157" s="15" t="s">
        <v>274</v>
      </c>
      <c r="F157" s="2" t="s">
        <v>290</v>
      </c>
      <c r="G157" s="2" t="s">
        <v>225</v>
      </c>
      <c r="H157" s="3"/>
      <c r="I157" s="3">
        <f t="shared" si="67"/>
        <v>150</v>
      </c>
      <c r="J157" s="2">
        <v>146</v>
      </c>
      <c r="K157" s="13" t="s">
        <v>191</v>
      </c>
      <c r="L157" s="2" t="s">
        <v>6</v>
      </c>
    </row>
    <row r="158" spans="2:12" ht="15.6" x14ac:dyDescent="0.35">
      <c r="B158" t="str">
        <f t="shared" si="66"/>
        <v>KK</v>
      </c>
      <c r="C158" s="15" t="s">
        <v>274</v>
      </c>
      <c r="E158" s="16" t="s">
        <v>275</v>
      </c>
      <c r="F158" s="2" t="s">
        <v>290</v>
      </c>
      <c r="G158" s="2" t="s">
        <v>225</v>
      </c>
      <c r="H158" s="3"/>
      <c r="I158" s="3">
        <f t="shared" si="67"/>
        <v>151</v>
      </c>
      <c r="J158" s="2">
        <v>147</v>
      </c>
      <c r="K158" s="13" t="s">
        <v>192</v>
      </c>
      <c r="L158" s="2" t="s">
        <v>6</v>
      </c>
    </row>
    <row r="159" spans="2:12" ht="15.6" x14ac:dyDescent="0.35">
      <c r="B159" t="str">
        <f t="shared" si="66"/>
        <v>KK</v>
      </c>
      <c r="C159" s="16" t="s">
        <v>275</v>
      </c>
      <c r="E159" s="17" t="s">
        <v>77</v>
      </c>
      <c r="F159" s="2" t="s">
        <v>290</v>
      </c>
      <c r="G159" s="2" t="s">
        <v>225</v>
      </c>
      <c r="H159" s="3"/>
      <c r="I159" s="3">
        <f t="shared" si="67"/>
        <v>152</v>
      </c>
      <c r="J159" s="2">
        <v>148</v>
      </c>
      <c r="K159" s="13" t="s">
        <v>193</v>
      </c>
      <c r="L159" s="2" t="s">
        <v>6</v>
      </c>
    </row>
    <row r="160" spans="2:12" ht="15.6" x14ac:dyDescent="0.35">
      <c r="B160" t="str">
        <f t="shared" si="66"/>
        <v>KK</v>
      </c>
      <c r="C160" s="17" t="s">
        <v>77</v>
      </c>
      <c r="E160" s="18" t="s">
        <v>78</v>
      </c>
      <c r="F160" s="2" t="s">
        <v>290</v>
      </c>
      <c r="G160" s="2" t="s">
        <v>225</v>
      </c>
      <c r="H160" s="3"/>
      <c r="I160" s="3">
        <f t="shared" si="67"/>
        <v>153</v>
      </c>
      <c r="J160" s="2">
        <v>149</v>
      </c>
      <c r="K160" s="13" t="s">
        <v>194</v>
      </c>
      <c r="L160" s="2" t="s">
        <v>6</v>
      </c>
    </row>
    <row r="161" spans="2:12" ht="15.6" x14ac:dyDescent="0.35">
      <c r="B161" t="str">
        <f t="shared" si="66"/>
        <v>KK</v>
      </c>
      <c r="C161" s="18" t="s">
        <v>78</v>
      </c>
      <c r="E161" s="15" t="s">
        <v>276</v>
      </c>
      <c r="F161" s="2" t="s">
        <v>290</v>
      </c>
      <c r="G161" s="2" t="s">
        <v>225</v>
      </c>
      <c r="H161" s="3"/>
      <c r="I161" s="3">
        <f t="shared" si="67"/>
        <v>154</v>
      </c>
      <c r="J161" s="2">
        <v>150</v>
      </c>
      <c r="K161" s="13" t="s">
        <v>195</v>
      </c>
      <c r="L161" s="2" t="s">
        <v>6</v>
      </c>
    </row>
    <row r="162" spans="2:12" ht="15.6" x14ac:dyDescent="0.35">
      <c r="B162" t="str">
        <f t="shared" si="66"/>
        <v>KK</v>
      </c>
      <c r="C162" s="15" t="s">
        <v>276</v>
      </c>
      <c r="E162" s="16" t="s">
        <v>277</v>
      </c>
      <c r="F162" s="2" t="s">
        <v>290</v>
      </c>
      <c r="G162" s="2" t="s">
        <v>225</v>
      </c>
      <c r="H162" s="3"/>
      <c r="I162" s="3">
        <f t="shared" si="67"/>
        <v>155</v>
      </c>
      <c r="J162" s="2">
        <v>151</v>
      </c>
      <c r="K162" s="13" t="s">
        <v>196</v>
      </c>
      <c r="L162" s="2" t="s">
        <v>6</v>
      </c>
    </row>
    <row r="163" spans="2:12" ht="15.6" x14ac:dyDescent="0.35">
      <c r="B163" t="str">
        <f t="shared" si="66"/>
        <v>KK</v>
      </c>
      <c r="C163" s="16" t="s">
        <v>277</v>
      </c>
      <c r="E163" s="17" t="s">
        <v>79</v>
      </c>
      <c r="F163" s="2" t="s">
        <v>290</v>
      </c>
      <c r="G163" s="2" t="s">
        <v>225</v>
      </c>
      <c r="H163" s="3"/>
      <c r="I163" s="3">
        <f t="shared" si="67"/>
        <v>156</v>
      </c>
      <c r="J163" s="2">
        <v>152</v>
      </c>
      <c r="K163" s="13" t="s">
        <v>197</v>
      </c>
      <c r="L163" s="2" t="s">
        <v>6</v>
      </c>
    </row>
    <row r="164" spans="2:12" ht="15.6" x14ac:dyDescent="0.35">
      <c r="B164" t="str">
        <f t="shared" si="66"/>
        <v>KK</v>
      </c>
      <c r="C164" s="17" t="s">
        <v>79</v>
      </c>
      <c r="E164" s="18" t="s">
        <v>80</v>
      </c>
      <c r="F164" s="2" t="s">
        <v>290</v>
      </c>
      <c r="G164" s="2" t="s">
        <v>225</v>
      </c>
      <c r="H164" s="3"/>
      <c r="I164" s="3">
        <f t="shared" si="67"/>
        <v>157</v>
      </c>
      <c r="J164" s="2">
        <v>153</v>
      </c>
      <c r="K164" s="13" t="s">
        <v>198</v>
      </c>
      <c r="L164" s="2" t="s">
        <v>6</v>
      </c>
    </row>
    <row r="165" spans="2:12" ht="15.6" x14ac:dyDescent="0.35">
      <c r="B165" t="str">
        <f t="shared" si="66"/>
        <v>KK</v>
      </c>
      <c r="C165" s="18" t="s">
        <v>80</v>
      </c>
      <c r="E165" s="15" t="s">
        <v>278</v>
      </c>
      <c r="F165" s="2" t="s">
        <v>290</v>
      </c>
      <c r="G165" s="2" t="s">
        <v>225</v>
      </c>
      <c r="H165" s="3"/>
      <c r="I165" s="3">
        <f t="shared" si="67"/>
        <v>158</v>
      </c>
      <c r="J165" s="2">
        <v>154</v>
      </c>
      <c r="K165" s="13" t="s">
        <v>199</v>
      </c>
      <c r="L165" s="2" t="s">
        <v>6</v>
      </c>
    </row>
    <row r="166" spans="2:12" ht="15.6" x14ac:dyDescent="0.35">
      <c r="B166" t="str">
        <f t="shared" si="66"/>
        <v>KK</v>
      </c>
      <c r="C166" s="15" t="s">
        <v>278</v>
      </c>
      <c r="E166" s="16" t="s">
        <v>279</v>
      </c>
      <c r="F166" s="2" t="s">
        <v>290</v>
      </c>
      <c r="G166" s="2" t="s">
        <v>225</v>
      </c>
      <c r="H166" s="3"/>
      <c r="I166" s="3">
        <f t="shared" si="67"/>
        <v>159</v>
      </c>
      <c r="J166" s="2">
        <v>155</v>
      </c>
      <c r="K166" s="13" t="s">
        <v>200</v>
      </c>
      <c r="L166" s="2" t="s">
        <v>6</v>
      </c>
    </row>
    <row r="167" spans="2:12" ht="15.6" x14ac:dyDescent="0.35">
      <c r="B167" t="str">
        <f t="shared" si="66"/>
        <v>KK</v>
      </c>
      <c r="C167" s="16" t="s">
        <v>279</v>
      </c>
      <c r="E167" s="17" t="s">
        <v>81</v>
      </c>
      <c r="F167" s="2" t="s">
        <v>290</v>
      </c>
      <c r="G167" s="2" t="s">
        <v>225</v>
      </c>
      <c r="H167" s="3"/>
      <c r="I167" s="3">
        <f t="shared" si="67"/>
        <v>160</v>
      </c>
      <c r="J167" s="2">
        <v>156</v>
      </c>
      <c r="K167" s="13" t="s">
        <v>201</v>
      </c>
      <c r="L167" s="2" t="s">
        <v>6</v>
      </c>
    </row>
    <row r="168" spans="2:12" ht="15.6" x14ac:dyDescent="0.35">
      <c r="B168" t="str">
        <f t="shared" si="66"/>
        <v>KK</v>
      </c>
      <c r="C168" s="17" t="s">
        <v>81</v>
      </c>
      <c r="E168" s="18" t="s">
        <v>82</v>
      </c>
      <c r="F168" s="2" t="s">
        <v>290</v>
      </c>
      <c r="G168" s="2" t="s">
        <v>225</v>
      </c>
      <c r="H168" s="3"/>
      <c r="I168" s="3">
        <f t="shared" si="67"/>
        <v>161</v>
      </c>
      <c r="J168" s="2">
        <v>157</v>
      </c>
      <c r="K168" s="13" t="s">
        <v>202</v>
      </c>
      <c r="L168" s="2" t="s">
        <v>6</v>
      </c>
    </row>
    <row r="169" spans="2:12" ht="15.6" x14ac:dyDescent="0.35">
      <c r="B169" t="str">
        <f t="shared" si="66"/>
        <v>KK</v>
      </c>
      <c r="C169" s="18" t="s">
        <v>82</v>
      </c>
      <c r="E169" s="15" t="s">
        <v>280</v>
      </c>
      <c r="F169" s="2" t="s">
        <v>290</v>
      </c>
      <c r="G169" s="2" t="s">
        <v>225</v>
      </c>
      <c r="H169" s="3"/>
      <c r="I169" s="3">
        <f t="shared" si="67"/>
        <v>162</v>
      </c>
      <c r="J169" s="2">
        <v>158</v>
      </c>
      <c r="K169" s="13" t="s">
        <v>203</v>
      </c>
      <c r="L169" s="2" t="s">
        <v>6</v>
      </c>
    </row>
    <row r="170" spans="2:12" ht="15.6" x14ac:dyDescent="0.35">
      <c r="B170" t="str">
        <f t="shared" si="66"/>
        <v>KK</v>
      </c>
      <c r="C170" s="15" t="s">
        <v>280</v>
      </c>
      <c r="E170" s="16" t="s">
        <v>281</v>
      </c>
      <c r="F170" s="2" t="s">
        <v>290</v>
      </c>
      <c r="G170" s="2" t="s">
        <v>225</v>
      </c>
      <c r="H170" s="3"/>
      <c r="I170" s="3">
        <f t="shared" si="67"/>
        <v>163</v>
      </c>
      <c r="J170" s="2">
        <v>159</v>
      </c>
      <c r="K170" s="13" t="s">
        <v>204</v>
      </c>
      <c r="L170" s="2" t="s">
        <v>6</v>
      </c>
    </row>
    <row r="171" spans="2:12" ht="15.6" x14ac:dyDescent="0.35">
      <c r="B171" t="str">
        <f t="shared" si="66"/>
        <v>KK</v>
      </c>
      <c r="C171" s="16" t="s">
        <v>281</v>
      </c>
      <c r="E171" s="17" t="s">
        <v>83</v>
      </c>
      <c r="F171" s="2" t="s">
        <v>290</v>
      </c>
      <c r="G171" s="2" t="s">
        <v>225</v>
      </c>
      <c r="H171" s="3"/>
      <c r="I171" s="3">
        <f t="shared" si="67"/>
        <v>164</v>
      </c>
      <c r="J171" s="2">
        <v>160</v>
      </c>
      <c r="K171" s="13" t="s">
        <v>205</v>
      </c>
      <c r="L171" s="2" t="s">
        <v>6</v>
      </c>
    </row>
    <row r="172" spans="2:12" ht="15.6" x14ac:dyDescent="0.35">
      <c r="B172" t="str">
        <f t="shared" si="66"/>
        <v>KK</v>
      </c>
      <c r="C172" s="17" t="s">
        <v>83</v>
      </c>
      <c r="E172" s="18" t="s">
        <v>84</v>
      </c>
      <c r="F172" s="2" t="s">
        <v>290</v>
      </c>
      <c r="G172" s="2" t="s">
        <v>225</v>
      </c>
      <c r="H172" s="3"/>
      <c r="I172" s="3">
        <f t="shared" si="67"/>
        <v>165</v>
      </c>
      <c r="J172" s="2">
        <v>161</v>
      </c>
      <c r="K172" s="13" t="s">
        <v>206</v>
      </c>
      <c r="L172" s="2" t="s">
        <v>6</v>
      </c>
    </row>
    <row r="173" spans="2:12" ht="15.6" x14ac:dyDescent="0.35">
      <c r="B173" t="str">
        <f t="shared" si="66"/>
        <v>KK</v>
      </c>
      <c r="C173" s="18" t="s">
        <v>84</v>
      </c>
      <c r="E173" s="15" t="s">
        <v>282</v>
      </c>
      <c r="F173" s="2" t="s">
        <v>290</v>
      </c>
      <c r="G173" s="2" t="s">
        <v>225</v>
      </c>
      <c r="H173" s="3"/>
      <c r="I173" s="3">
        <f t="shared" si="67"/>
        <v>166</v>
      </c>
      <c r="J173" s="2">
        <v>162</v>
      </c>
      <c r="K173" s="13" t="s">
        <v>207</v>
      </c>
      <c r="L173" s="2" t="s">
        <v>6</v>
      </c>
    </row>
    <row r="174" spans="2:12" ht="15.6" x14ac:dyDescent="0.35">
      <c r="B174" t="str">
        <f t="shared" si="66"/>
        <v>KK</v>
      </c>
      <c r="C174" s="15" t="s">
        <v>282</v>
      </c>
      <c r="E174" s="16" t="s">
        <v>283</v>
      </c>
      <c r="F174" s="2" t="s">
        <v>290</v>
      </c>
      <c r="G174" s="2" t="s">
        <v>225</v>
      </c>
      <c r="H174" s="3"/>
      <c r="I174" s="3">
        <f t="shared" si="67"/>
        <v>167</v>
      </c>
      <c r="J174" s="2">
        <v>163</v>
      </c>
      <c r="K174" s="13" t="s">
        <v>208</v>
      </c>
      <c r="L174" s="2" t="s">
        <v>6</v>
      </c>
    </row>
    <row r="175" spans="2:12" ht="15.6" x14ac:dyDescent="0.35">
      <c r="B175" t="str">
        <f t="shared" si="66"/>
        <v>KK</v>
      </c>
      <c r="C175" s="16" t="s">
        <v>283</v>
      </c>
      <c r="E175" s="17" t="s">
        <v>85</v>
      </c>
      <c r="F175" s="2" t="s">
        <v>290</v>
      </c>
      <c r="G175" s="2" t="s">
        <v>225</v>
      </c>
      <c r="H175" s="3"/>
      <c r="I175" s="3">
        <f t="shared" si="67"/>
        <v>168</v>
      </c>
      <c r="J175" s="2">
        <v>164</v>
      </c>
      <c r="K175" s="13" t="s">
        <v>209</v>
      </c>
      <c r="L175" s="2" t="s">
        <v>6</v>
      </c>
    </row>
    <row r="176" spans="2:12" ht="15.6" x14ac:dyDescent="0.35">
      <c r="B176" t="str">
        <f t="shared" si="66"/>
        <v>KK</v>
      </c>
      <c r="C176" s="17" t="s">
        <v>85</v>
      </c>
      <c r="E176" s="18" t="s">
        <v>86</v>
      </c>
      <c r="F176" s="2" t="s">
        <v>290</v>
      </c>
      <c r="G176" s="2" t="s">
        <v>225</v>
      </c>
      <c r="H176" s="3"/>
      <c r="I176" s="3">
        <f t="shared" si="67"/>
        <v>169</v>
      </c>
      <c r="J176" s="2">
        <v>165</v>
      </c>
      <c r="K176" s="13" t="s">
        <v>210</v>
      </c>
      <c r="L176" s="2" t="s">
        <v>6</v>
      </c>
    </row>
    <row r="177" spans="2:12" ht="15.6" x14ac:dyDescent="0.35">
      <c r="B177" t="str">
        <f t="shared" si="66"/>
        <v>KK</v>
      </c>
      <c r="C177" s="18" t="s">
        <v>86</v>
      </c>
      <c r="E177" s="15" t="s">
        <v>284</v>
      </c>
      <c r="F177" s="2" t="s">
        <v>290</v>
      </c>
      <c r="G177" s="2" t="s">
        <v>225</v>
      </c>
      <c r="H177" s="3"/>
      <c r="I177" s="3">
        <f t="shared" si="67"/>
        <v>170</v>
      </c>
      <c r="J177" s="2">
        <v>166</v>
      </c>
      <c r="K177" s="13" t="s">
        <v>211</v>
      </c>
      <c r="L177" s="2" t="s">
        <v>6</v>
      </c>
    </row>
    <row r="178" spans="2:12" ht="15.6" x14ac:dyDescent="0.35">
      <c r="B178" t="str">
        <f t="shared" si="66"/>
        <v>KK</v>
      </c>
      <c r="C178" s="15" t="s">
        <v>284</v>
      </c>
      <c r="E178" s="16" t="s">
        <v>285</v>
      </c>
      <c r="F178" s="2" t="s">
        <v>290</v>
      </c>
      <c r="G178" s="2" t="s">
        <v>225</v>
      </c>
      <c r="H178" s="3"/>
      <c r="I178" s="3">
        <f t="shared" si="67"/>
        <v>171</v>
      </c>
      <c r="J178" s="2">
        <v>167</v>
      </c>
      <c r="K178" s="13" t="s">
        <v>212</v>
      </c>
      <c r="L178" s="2" t="s">
        <v>6</v>
      </c>
    </row>
    <row r="179" spans="2:12" ht="15.6" x14ac:dyDescent="0.35">
      <c r="B179" t="str">
        <f t="shared" si="66"/>
        <v>KK</v>
      </c>
      <c r="C179" s="16" t="s">
        <v>285</v>
      </c>
      <c r="E179" s="17" t="s">
        <v>87</v>
      </c>
      <c r="F179" s="2" t="s">
        <v>290</v>
      </c>
      <c r="G179" s="2" t="s">
        <v>225</v>
      </c>
      <c r="H179" s="3"/>
      <c r="I179" s="3">
        <f t="shared" si="67"/>
        <v>172</v>
      </c>
      <c r="J179" s="2">
        <v>168</v>
      </c>
      <c r="K179" s="13" t="s">
        <v>213</v>
      </c>
      <c r="L179" s="2" t="s">
        <v>6</v>
      </c>
    </row>
    <row r="180" spans="2:12" ht="15.6" x14ac:dyDescent="0.35">
      <c r="B180" t="str">
        <f t="shared" si="66"/>
        <v>KK</v>
      </c>
      <c r="C180" s="17" t="s">
        <v>87</v>
      </c>
      <c r="E180" s="18" t="s">
        <v>88</v>
      </c>
      <c r="F180" s="2" t="s">
        <v>290</v>
      </c>
      <c r="G180" s="2" t="s">
        <v>225</v>
      </c>
      <c r="H180" s="3"/>
      <c r="I180" s="3">
        <f t="shared" si="67"/>
        <v>173</v>
      </c>
      <c r="J180" s="2">
        <v>169</v>
      </c>
      <c r="K180" s="13" t="s">
        <v>214</v>
      </c>
      <c r="L180" s="2" t="s">
        <v>6</v>
      </c>
    </row>
    <row r="181" spans="2:12" ht="15.6" x14ac:dyDescent="0.35">
      <c r="B181" t="str">
        <f t="shared" si="66"/>
        <v>KK</v>
      </c>
      <c r="C181" s="18" t="s">
        <v>88</v>
      </c>
      <c r="E181" s="15" t="s">
        <v>286</v>
      </c>
      <c r="F181" s="2" t="s">
        <v>290</v>
      </c>
      <c r="G181" s="2" t="s">
        <v>225</v>
      </c>
      <c r="H181" s="3"/>
      <c r="I181" s="3">
        <f t="shared" si="67"/>
        <v>174</v>
      </c>
      <c r="J181" s="2">
        <v>170</v>
      </c>
      <c r="K181" s="13" t="s">
        <v>215</v>
      </c>
      <c r="L181" s="2" t="s">
        <v>6</v>
      </c>
    </row>
    <row r="182" spans="2:12" ht="15.6" x14ac:dyDescent="0.35">
      <c r="B182" t="str">
        <f t="shared" si="66"/>
        <v>KK</v>
      </c>
      <c r="C182" s="15" t="s">
        <v>286</v>
      </c>
      <c r="E182" s="16" t="s">
        <v>287</v>
      </c>
      <c r="F182" s="2" t="s">
        <v>290</v>
      </c>
      <c r="G182" s="2" t="s">
        <v>225</v>
      </c>
      <c r="H182" s="3"/>
      <c r="I182" s="3">
        <f t="shared" si="67"/>
        <v>175</v>
      </c>
      <c r="J182" s="2">
        <v>171</v>
      </c>
      <c r="K182" s="13" t="s">
        <v>216</v>
      </c>
      <c r="L182" s="2" t="s">
        <v>6</v>
      </c>
    </row>
    <row r="183" spans="2:12" ht="15.6" x14ac:dyDescent="0.35">
      <c r="B183" t="str">
        <f t="shared" si="66"/>
        <v>KK</v>
      </c>
      <c r="C183" s="16" t="s">
        <v>287</v>
      </c>
      <c r="E183" s="17" t="s">
        <v>89</v>
      </c>
      <c r="F183" s="2" t="s">
        <v>290</v>
      </c>
      <c r="G183" s="2" t="s">
        <v>225</v>
      </c>
      <c r="H183" s="3"/>
      <c r="I183" s="3">
        <f t="shared" si="67"/>
        <v>176</v>
      </c>
      <c r="J183" s="2">
        <v>172</v>
      </c>
      <c r="K183" s="13" t="s">
        <v>217</v>
      </c>
      <c r="L183" s="2" t="s">
        <v>6</v>
      </c>
    </row>
    <row r="184" spans="2:12" ht="15.6" x14ac:dyDescent="0.35">
      <c r="B184" t="str">
        <f t="shared" si="66"/>
        <v>KK</v>
      </c>
      <c r="C184" s="17" t="s">
        <v>89</v>
      </c>
      <c r="E184" s="18" t="s">
        <v>90</v>
      </c>
      <c r="F184" s="2" t="s">
        <v>290</v>
      </c>
      <c r="G184" s="2" t="s">
        <v>225</v>
      </c>
      <c r="H184" s="3"/>
      <c r="I184" s="3">
        <f t="shared" si="67"/>
        <v>177</v>
      </c>
      <c r="J184" s="2">
        <v>173</v>
      </c>
      <c r="K184" s="13" t="s">
        <v>218</v>
      </c>
      <c r="L184" s="2" t="s">
        <v>6</v>
      </c>
    </row>
    <row r="185" spans="2:12" ht="15.6" x14ac:dyDescent="0.35">
      <c r="B185" t="str">
        <f t="shared" si="66"/>
        <v>KK</v>
      </c>
      <c r="C185" s="18" t="s">
        <v>90</v>
      </c>
      <c r="E185" s="15" t="s">
        <v>288</v>
      </c>
      <c r="F185" s="2" t="s">
        <v>290</v>
      </c>
      <c r="G185" s="2" t="s">
        <v>225</v>
      </c>
      <c r="H185" s="3"/>
      <c r="I185" s="3">
        <f t="shared" si="67"/>
        <v>178</v>
      </c>
      <c r="J185" s="2">
        <v>174</v>
      </c>
      <c r="K185" s="13" t="s">
        <v>219</v>
      </c>
      <c r="L185" s="2" t="s">
        <v>6</v>
      </c>
    </row>
    <row r="186" spans="2:12" ht="15.6" x14ac:dyDescent="0.35">
      <c r="B186" t="str">
        <f t="shared" si="66"/>
        <v>KK</v>
      </c>
      <c r="C186" s="15" t="s">
        <v>288</v>
      </c>
      <c r="E186" s="16" t="s">
        <v>289</v>
      </c>
      <c r="F186" s="2" t="s">
        <v>290</v>
      </c>
      <c r="G186" s="2" t="s">
        <v>225</v>
      </c>
      <c r="H186" s="3"/>
      <c r="I186" s="3">
        <f t="shared" si="67"/>
        <v>179</v>
      </c>
      <c r="J186" s="2">
        <v>175</v>
      </c>
      <c r="K186" s="13" t="s">
        <v>220</v>
      </c>
      <c r="L186" s="2" t="s">
        <v>6</v>
      </c>
    </row>
    <row r="187" spans="2:12" ht="15.6" x14ac:dyDescent="0.35">
      <c r="B187" t="str">
        <f t="shared" si="66"/>
        <v>KK</v>
      </c>
      <c r="C187" s="16" t="s">
        <v>289</v>
      </c>
      <c r="E187" s="17" t="s">
        <v>91</v>
      </c>
      <c r="F187" s="2" t="s">
        <v>290</v>
      </c>
      <c r="G187" s="2" t="s">
        <v>225</v>
      </c>
      <c r="H187" s="3"/>
      <c r="I187" s="3">
        <f t="shared" si="67"/>
        <v>180</v>
      </c>
      <c r="J187" s="2">
        <v>176</v>
      </c>
      <c r="K187" s="13" t="s">
        <v>221</v>
      </c>
      <c r="L187" s="2" t="s">
        <v>6</v>
      </c>
    </row>
    <row r="188" spans="2:12" ht="15.6" x14ac:dyDescent="0.35">
      <c r="B188" t="str">
        <f t="shared" si="66"/>
        <v>KK</v>
      </c>
      <c r="C188" s="17" t="s">
        <v>91</v>
      </c>
      <c r="E188" s="18" t="s">
        <v>92</v>
      </c>
      <c r="F188" s="2" t="s">
        <v>290</v>
      </c>
      <c r="G188" s="2" t="s">
        <v>225</v>
      </c>
      <c r="H188" s="3"/>
      <c r="I188" s="3">
        <f t="shared" si="67"/>
        <v>181</v>
      </c>
      <c r="J188" s="2">
        <v>177</v>
      </c>
      <c r="K188" s="13" t="s">
        <v>222</v>
      </c>
      <c r="L188" s="2" t="s">
        <v>6</v>
      </c>
    </row>
    <row r="189" spans="2:12" ht="15.6" x14ac:dyDescent="0.35">
      <c r="B189" t="str">
        <f t="shared" si="66"/>
        <v>KK</v>
      </c>
      <c r="C189" s="18" t="s">
        <v>92</v>
      </c>
      <c r="E189" s="52" t="s">
        <v>93</v>
      </c>
      <c r="F189" s="2"/>
      <c r="G189" s="14" t="s">
        <v>224</v>
      </c>
      <c r="H189" s="3"/>
      <c r="I189" s="3">
        <f t="shared" si="67"/>
        <v>182</v>
      </c>
      <c r="J189" s="2">
        <v>178</v>
      </c>
      <c r="K189" s="2"/>
      <c r="L189" s="2"/>
    </row>
    <row r="190" spans="2:12" x14ac:dyDescent="0.25">
      <c r="C190" s="52" t="s">
        <v>93</v>
      </c>
    </row>
    <row r="191" spans="2:12" ht="26.4" x14ac:dyDescent="0.25">
      <c r="C191" s="85" t="s">
        <v>422</v>
      </c>
    </row>
    <row r="192" spans="2:12" x14ac:dyDescent="0.25">
      <c r="C192" s="86" t="s">
        <v>384</v>
      </c>
    </row>
    <row r="193" spans="3:3" x14ac:dyDescent="0.25">
      <c r="C193" s="87" t="s">
        <v>385</v>
      </c>
    </row>
    <row r="194" spans="3:3" x14ac:dyDescent="0.25">
      <c r="C194" s="87" t="s">
        <v>386</v>
      </c>
    </row>
    <row r="195" spans="3:3" x14ac:dyDescent="0.25">
      <c r="C195" s="87" t="s">
        <v>387</v>
      </c>
    </row>
    <row r="196" spans="3:3" x14ac:dyDescent="0.25">
      <c r="C196" s="87" t="s">
        <v>388</v>
      </c>
    </row>
    <row r="197" spans="3:3" x14ac:dyDescent="0.25">
      <c r="C197" s="87" t="s">
        <v>389</v>
      </c>
    </row>
    <row r="198" spans="3:3" x14ac:dyDescent="0.25">
      <c r="C198" s="87" t="s">
        <v>390</v>
      </c>
    </row>
    <row r="199" spans="3:3" x14ac:dyDescent="0.25">
      <c r="C199" s="87" t="s">
        <v>391</v>
      </c>
    </row>
    <row r="200" spans="3:3" x14ac:dyDescent="0.25">
      <c r="C200" s="39" t="s">
        <v>392</v>
      </c>
    </row>
    <row r="201" spans="3:3" x14ac:dyDescent="0.25">
      <c r="C201" s="39" t="s">
        <v>393</v>
      </c>
    </row>
    <row r="202" spans="3:3" x14ac:dyDescent="0.25">
      <c r="C202" s="39" t="s">
        <v>394</v>
      </c>
    </row>
    <row r="203" spans="3:3" ht="26.4" x14ac:dyDescent="0.25">
      <c r="C203" s="39" t="s">
        <v>395</v>
      </c>
    </row>
    <row r="204" spans="3:3" ht="26.4" x14ac:dyDescent="0.25">
      <c r="C204" s="39" t="s">
        <v>396</v>
      </c>
    </row>
    <row r="205" spans="3:3" x14ac:dyDescent="0.25">
      <c r="C205" s="39" t="s">
        <v>397</v>
      </c>
    </row>
    <row r="206" spans="3:3" x14ac:dyDescent="0.25">
      <c r="C206" s="39" t="s">
        <v>398</v>
      </c>
    </row>
    <row r="207" spans="3:3" ht="26.4" x14ac:dyDescent="0.25">
      <c r="C207" s="88" t="s">
        <v>376</v>
      </c>
    </row>
    <row r="208" spans="3:3" x14ac:dyDescent="0.25">
      <c r="C208" s="89" t="s">
        <v>399</v>
      </c>
    </row>
    <row r="209" spans="3:3" x14ac:dyDescent="0.25">
      <c r="C209" s="89" t="s">
        <v>400</v>
      </c>
    </row>
    <row r="210" spans="3:3" ht="26.4" x14ac:dyDescent="0.25">
      <c r="C210" s="89" t="s">
        <v>377</v>
      </c>
    </row>
    <row r="211" spans="3:3" ht="26.4" x14ac:dyDescent="0.25">
      <c r="C211" s="89" t="s">
        <v>401</v>
      </c>
    </row>
    <row r="212" spans="3:3" ht="26.4" x14ac:dyDescent="0.25">
      <c r="C212" s="89" t="s">
        <v>402</v>
      </c>
    </row>
    <row r="213" spans="3:3" ht="26.4" x14ac:dyDescent="0.25">
      <c r="C213" s="87" t="s">
        <v>370</v>
      </c>
    </row>
    <row r="214" spans="3:3" ht="26.4" x14ac:dyDescent="0.25">
      <c r="C214" s="41" t="s">
        <v>403</v>
      </c>
    </row>
    <row r="215" spans="3:3" ht="26.4" x14ac:dyDescent="0.25">
      <c r="C215" s="41" t="s">
        <v>404</v>
      </c>
    </row>
    <row r="216" spans="3:3" ht="26.4" x14ac:dyDescent="0.25">
      <c r="C216" s="61" t="s">
        <v>405</v>
      </c>
    </row>
    <row r="217" spans="3:3" ht="26.4" x14ac:dyDescent="0.25">
      <c r="C217" s="62" t="s">
        <v>406</v>
      </c>
    </row>
    <row r="218" spans="3:3" ht="26.4" x14ac:dyDescent="0.25">
      <c r="C218" s="62" t="s">
        <v>407</v>
      </c>
    </row>
    <row r="219" spans="3:3" ht="26.4" x14ac:dyDescent="0.25">
      <c r="C219" s="62" t="s">
        <v>408</v>
      </c>
    </row>
    <row r="220" spans="3:3" x14ac:dyDescent="0.25">
      <c r="C220" s="63" t="s">
        <v>409</v>
      </c>
    </row>
    <row r="221" spans="3:3" x14ac:dyDescent="0.25">
      <c r="C221" s="64" t="s">
        <v>410</v>
      </c>
    </row>
    <row r="222" spans="3:3" ht="26.4" x14ac:dyDescent="0.25">
      <c r="C222" s="87" t="s">
        <v>411</v>
      </c>
    </row>
    <row r="223" spans="3:3" ht="26.4" x14ac:dyDescent="0.25">
      <c r="C223" s="87" t="s">
        <v>412</v>
      </c>
    </row>
    <row r="224" spans="3:3" ht="26.4" x14ac:dyDescent="0.25">
      <c r="C224" s="83" t="s">
        <v>413</v>
      </c>
    </row>
    <row r="225" spans="3:3" ht="26.4" x14ac:dyDescent="0.25">
      <c r="C225" s="41" t="s">
        <v>414</v>
      </c>
    </row>
    <row r="226" spans="3:3" x14ac:dyDescent="0.25">
      <c r="C226" s="90" t="s">
        <v>415</v>
      </c>
    </row>
    <row r="227" spans="3:3" x14ac:dyDescent="0.25">
      <c r="C227" s="91" t="s">
        <v>416</v>
      </c>
    </row>
    <row r="228" spans="3:3" x14ac:dyDescent="0.25">
      <c r="C228" s="61" t="s">
        <v>417</v>
      </c>
    </row>
    <row r="229" spans="3:3" x14ac:dyDescent="0.25">
      <c r="C229" s="61" t="s">
        <v>418</v>
      </c>
    </row>
    <row r="230" spans="3:3" x14ac:dyDescent="0.25">
      <c r="C230" s="62" t="s">
        <v>419</v>
      </c>
    </row>
    <row r="231" spans="3:3" x14ac:dyDescent="0.25">
      <c r="C231" s="63" t="s">
        <v>420</v>
      </c>
    </row>
    <row r="232" spans="3:3" x14ac:dyDescent="0.25">
      <c r="C232" s="92" t="s">
        <v>421</v>
      </c>
    </row>
    <row r="233" spans="3:3" x14ac:dyDescent="0.25">
      <c r="C233" s="15" t="s">
        <v>228</v>
      </c>
    </row>
    <row r="234" spans="3:3" x14ac:dyDescent="0.25">
      <c r="C234" s="16" t="s">
        <v>229</v>
      </c>
    </row>
    <row r="235" spans="3:3" x14ac:dyDescent="0.25">
      <c r="C235" s="17" t="s">
        <v>31</v>
      </c>
    </row>
    <row r="236" spans="3:3" x14ac:dyDescent="0.25">
      <c r="C236" s="18" t="s">
        <v>32</v>
      </c>
    </row>
    <row r="237" spans="3:3" x14ac:dyDescent="0.25">
      <c r="C237" s="15" t="s">
        <v>230</v>
      </c>
    </row>
    <row r="238" spans="3:3" x14ac:dyDescent="0.25">
      <c r="C238" s="16" t="s">
        <v>231</v>
      </c>
    </row>
    <row r="239" spans="3:3" x14ac:dyDescent="0.25">
      <c r="C239" s="17" t="s">
        <v>33</v>
      </c>
    </row>
    <row r="240" spans="3:3" x14ac:dyDescent="0.25">
      <c r="C240" s="18" t="s">
        <v>34</v>
      </c>
    </row>
    <row r="241" spans="3:3" x14ac:dyDescent="0.25">
      <c r="C241" s="15" t="s">
        <v>232</v>
      </c>
    </row>
    <row r="242" spans="3:3" x14ac:dyDescent="0.25">
      <c r="C242" s="16" t="s">
        <v>233</v>
      </c>
    </row>
    <row r="243" spans="3:3" x14ac:dyDescent="0.25">
      <c r="C243" s="17" t="s">
        <v>35</v>
      </c>
    </row>
    <row r="244" spans="3:3" x14ac:dyDescent="0.25">
      <c r="C244" s="18" t="s">
        <v>36</v>
      </c>
    </row>
    <row r="245" spans="3:3" x14ac:dyDescent="0.25">
      <c r="C245" s="15" t="s">
        <v>234</v>
      </c>
    </row>
    <row r="246" spans="3:3" x14ac:dyDescent="0.25">
      <c r="C246" s="16" t="s">
        <v>235</v>
      </c>
    </row>
    <row r="247" spans="3:3" x14ac:dyDescent="0.25">
      <c r="C247" s="17" t="s">
        <v>37</v>
      </c>
    </row>
    <row r="248" spans="3:3" x14ac:dyDescent="0.25">
      <c r="C248" s="18" t="s">
        <v>38</v>
      </c>
    </row>
    <row r="249" spans="3:3" x14ac:dyDescent="0.25">
      <c r="C249" s="15" t="s">
        <v>236</v>
      </c>
    </row>
    <row r="250" spans="3:3" x14ac:dyDescent="0.25">
      <c r="C250" s="16" t="s">
        <v>237</v>
      </c>
    </row>
    <row r="251" spans="3:3" x14ac:dyDescent="0.25">
      <c r="C251" s="17" t="s">
        <v>39</v>
      </c>
    </row>
    <row r="252" spans="3:3" x14ac:dyDescent="0.25">
      <c r="C252" s="18" t="s">
        <v>40</v>
      </c>
    </row>
    <row r="253" spans="3:3" x14ac:dyDescent="0.25">
      <c r="C253" s="15" t="s">
        <v>238</v>
      </c>
    </row>
    <row r="254" spans="3:3" x14ac:dyDescent="0.25">
      <c r="C254" s="16" t="s">
        <v>239</v>
      </c>
    </row>
    <row r="255" spans="3:3" x14ac:dyDescent="0.25">
      <c r="C255" s="17" t="s">
        <v>41</v>
      </c>
    </row>
    <row r="256" spans="3:3" x14ac:dyDescent="0.25">
      <c r="C256" s="18" t="s">
        <v>42</v>
      </c>
    </row>
    <row r="257" spans="3:3" x14ac:dyDescent="0.25">
      <c r="C257" s="15" t="s">
        <v>240</v>
      </c>
    </row>
    <row r="258" spans="3:3" x14ac:dyDescent="0.25">
      <c r="C258" s="16" t="s">
        <v>241</v>
      </c>
    </row>
    <row r="259" spans="3:3" x14ac:dyDescent="0.25">
      <c r="C259" s="17" t="s">
        <v>43</v>
      </c>
    </row>
    <row r="260" spans="3:3" x14ac:dyDescent="0.25">
      <c r="C260" s="18" t="s">
        <v>44</v>
      </c>
    </row>
    <row r="261" spans="3:3" x14ac:dyDescent="0.25">
      <c r="C261" s="15" t="s">
        <v>242</v>
      </c>
    </row>
    <row r="262" spans="3:3" x14ac:dyDescent="0.25">
      <c r="C262" s="16" t="s">
        <v>243</v>
      </c>
    </row>
    <row r="263" spans="3:3" x14ac:dyDescent="0.25">
      <c r="C263" s="17" t="s">
        <v>45</v>
      </c>
    </row>
    <row r="264" spans="3:3" x14ac:dyDescent="0.25">
      <c r="C264" s="18" t="s">
        <v>46</v>
      </c>
    </row>
    <row r="265" spans="3:3" x14ac:dyDescent="0.25">
      <c r="C265" s="15" t="s">
        <v>244</v>
      </c>
    </row>
    <row r="266" spans="3:3" x14ac:dyDescent="0.25">
      <c r="C266" s="16" t="s">
        <v>245</v>
      </c>
    </row>
    <row r="267" spans="3:3" x14ac:dyDescent="0.25">
      <c r="C267" s="17" t="s">
        <v>47</v>
      </c>
    </row>
    <row r="268" spans="3:3" x14ac:dyDescent="0.25">
      <c r="C268" s="18" t="s">
        <v>48</v>
      </c>
    </row>
    <row r="269" spans="3:3" x14ac:dyDescent="0.25">
      <c r="C269" s="15" t="s">
        <v>246</v>
      </c>
    </row>
    <row r="270" spans="3:3" x14ac:dyDescent="0.25">
      <c r="C270" s="16" t="s">
        <v>247</v>
      </c>
    </row>
    <row r="271" spans="3:3" x14ac:dyDescent="0.25">
      <c r="C271" s="17" t="s">
        <v>49</v>
      </c>
    </row>
    <row r="272" spans="3:3" x14ac:dyDescent="0.25">
      <c r="C272" s="18" t="s">
        <v>50</v>
      </c>
    </row>
    <row r="273" spans="3:3" x14ac:dyDescent="0.25">
      <c r="C273" s="15" t="s">
        <v>248</v>
      </c>
    </row>
    <row r="274" spans="3:3" x14ac:dyDescent="0.25">
      <c r="C274" s="16" t="s">
        <v>249</v>
      </c>
    </row>
    <row r="275" spans="3:3" x14ac:dyDescent="0.25">
      <c r="C275" s="17" t="s">
        <v>51</v>
      </c>
    </row>
    <row r="276" spans="3:3" x14ac:dyDescent="0.25">
      <c r="C276" s="18" t="s">
        <v>52</v>
      </c>
    </row>
    <row r="277" spans="3:3" x14ac:dyDescent="0.25">
      <c r="C277" s="15" t="s">
        <v>250</v>
      </c>
    </row>
    <row r="278" spans="3:3" x14ac:dyDescent="0.25">
      <c r="C278" s="16" t="s">
        <v>251</v>
      </c>
    </row>
    <row r="279" spans="3:3" x14ac:dyDescent="0.25">
      <c r="C279" s="17" t="s">
        <v>53</v>
      </c>
    </row>
    <row r="280" spans="3:3" x14ac:dyDescent="0.25">
      <c r="C280" s="18" t="s">
        <v>54</v>
      </c>
    </row>
    <row r="281" spans="3:3" x14ac:dyDescent="0.25">
      <c r="C281" s="15" t="s">
        <v>252</v>
      </c>
    </row>
    <row r="282" spans="3:3" x14ac:dyDescent="0.25">
      <c r="C282" s="16" t="s">
        <v>253</v>
      </c>
    </row>
    <row r="283" spans="3:3" x14ac:dyDescent="0.25">
      <c r="C283" s="17" t="s">
        <v>55</v>
      </c>
    </row>
    <row r="284" spans="3:3" x14ac:dyDescent="0.25">
      <c r="C284" s="18" t="s">
        <v>56</v>
      </c>
    </row>
    <row r="285" spans="3:3" x14ac:dyDescent="0.25">
      <c r="C285" s="15" t="s">
        <v>254</v>
      </c>
    </row>
    <row r="286" spans="3:3" x14ac:dyDescent="0.25">
      <c r="C286" s="16" t="s">
        <v>255</v>
      </c>
    </row>
    <row r="287" spans="3:3" x14ac:dyDescent="0.25">
      <c r="C287" s="17" t="s">
        <v>57</v>
      </c>
    </row>
    <row r="288" spans="3:3" x14ac:dyDescent="0.25">
      <c r="C288" s="18" t="s">
        <v>58</v>
      </c>
    </row>
    <row r="289" spans="3:3" x14ac:dyDescent="0.25">
      <c r="C289" s="15" t="s">
        <v>256</v>
      </c>
    </row>
    <row r="290" spans="3:3" x14ac:dyDescent="0.25">
      <c r="C290" s="16" t="s">
        <v>257</v>
      </c>
    </row>
    <row r="291" spans="3:3" x14ac:dyDescent="0.25">
      <c r="C291" s="17" t="s">
        <v>59</v>
      </c>
    </row>
    <row r="292" spans="3:3" x14ac:dyDescent="0.25">
      <c r="C292" s="18" t="s">
        <v>60</v>
      </c>
    </row>
    <row r="293" spans="3:3" x14ac:dyDescent="0.25">
      <c r="C293" s="15" t="s">
        <v>258</v>
      </c>
    </row>
    <row r="294" spans="3:3" x14ac:dyDescent="0.25">
      <c r="C294" s="16" t="s">
        <v>259</v>
      </c>
    </row>
    <row r="295" spans="3:3" x14ac:dyDescent="0.25">
      <c r="C295" s="17" t="s">
        <v>61</v>
      </c>
    </row>
    <row r="296" spans="3:3" x14ac:dyDescent="0.25">
      <c r="C296" s="18" t="s">
        <v>62</v>
      </c>
    </row>
    <row r="297" spans="3:3" x14ac:dyDescent="0.25">
      <c r="C297" s="15" t="s">
        <v>260</v>
      </c>
    </row>
    <row r="298" spans="3:3" x14ac:dyDescent="0.25">
      <c r="C298" s="16" t="s">
        <v>261</v>
      </c>
    </row>
    <row r="299" spans="3:3" x14ac:dyDescent="0.25">
      <c r="C299" s="17" t="s">
        <v>63</v>
      </c>
    </row>
    <row r="300" spans="3:3" x14ac:dyDescent="0.25">
      <c r="C300" s="18" t="s">
        <v>64</v>
      </c>
    </row>
    <row r="301" spans="3:3" x14ac:dyDescent="0.25">
      <c r="C301" s="15" t="s">
        <v>262</v>
      </c>
    </row>
    <row r="302" spans="3:3" x14ac:dyDescent="0.25">
      <c r="C302" s="16" t="s">
        <v>263</v>
      </c>
    </row>
    <row r="303" spans="3:3" x14ac:dyDescent="0.25">
      <c r="C303" s="17" t="s">
        <v>65</v>
      </c>
    </row>
    <row r="304" spans="3:3" x14ac:dyDescent="0.25">
      <c r="C304" s="18" t="s">
        <v>66</v>
      </c>
    </row>
    <row r="305" spans="3:3" x14ac:dyDescent="0.25">
      <c r="C305" s="15" t="s">
        <v>264</v>
      </c>
    </row>
    <row r="306" spans="3:3" x14ac:dyDescent="0.25">
      <c r="C306" s="16" t="s">
        <v>265</v>
      </c>
    </row>
    <row r="307" spans="3:3" x14ac:dyDescent="0.25">
      <c r="C307" s="17" t="s">
        <v>67</v>
      </c>
    </row>
    <row r="308" spans="3:3" x14ac:dyDescent="0.25">
      <c r="C308" s="18" t="s">
        <v>68</v>
      </c>
    </row>
    <row r="309" spans="3:3" x14ac:dyDescent="0.25">
      <c r="C309" s="15" t="s">
        <v>266</v>
      </c>
    </row>
    <row r="310" spans="3:3" x14ac:dyDescent="0.25">
      <c r="C310" s="16" t="s">
        <v>267</v>
      </c>
    </row>
    <row r="311" spans="3:3" x14ac:dyDescent="0.25">
      <c r="C311" s="17" t="s">
        <v>69</v>
      </c>
    </row>
    <row r="312" spans="3:3" x14ac:dyDescent="0.25">
      <c r="C312" s="18" t="s">
        <v>70</v>
      </c>
    </row>
    <row r="313" spans="3:3" x14ac:dyDescent="0.25">
      <c r="C313" s="15" t="s">
        <v>268</v>
      </c>
    </row>
    <row r="314" spans="3:3" x14ac:dyDescent="0.25">
      <c r="C314" s="16" t="s">
        <v>269</v>
      </c>
    </row>
    <row r="315" spans="3:3" x14ac:dyDescent="0.25">
      <c r="C315" s="17" t="s">
        <v>71</v>
      </c>
    </row>
    <row r="316" spans="3:3" x14ac:dyDescent="0.25">
      <c r="C316" s="18" t="s">
        <v>72</v>
      </c>
    </row>
    <row r="317" spans="3:3" x14ac:dyDescent="0.25">
      <c r="C317" s="15" t="s">
        <v>270</v>
      </c>
    </row>
    <row r="318" spans="3:3" x14ac:dyDescent="0.25">
      <c r="C318" s="16" t="s">
        <v>271</v>
      </c>
    </row>
    <row r="319" spans="3:3" x14ac:dyDescent="0.25">
      <c r="C319" s="17" t="s">
        <v>73</v>
      </c>
    </row>
    <row r="320" spans="3:3" x14ac:dyDescent="0.25">
      <c r="C320" s="18" t="s">
        <v>74</v>
      </c>
    </row>
    <row r="321" spans="3:3" x14ac:dyDescent="0.25">
      <c r="C321" s="15" t="s">
        <v>272</v>
      </c>
    </row>
    <row r="322" spans="3:3" x14ac:dyDescent="0.25">
      <c r="C322" s="16" t="s">
        <v>273</v>
      </c>
    </row>
    <row r="323" spans="3:3" x14ac:dyDescent="0.25">
      <c r="C323" s="17" t="s">
        <v>75</v>
      </c>
    </row>
    <row r="324" spans="3:3" x14ac:dyDescent="0.25">
      <c r="C324" s="18" t="s">
        <v>76</v>
      </c>
    </row>
    <row r="325" spans="3:3" x14ac:dyDescent="0.25">
      <c r="C325" s="15" t="s">
        <v>274</v>
      </c>
    </row>
    <row r="326" spans="3:3" x14ac:dyDescent="0.25">
      <c r="C326" s="16" t="s">
        <v>275</v>
      </c>
    </row>
    <row r="327" spans="3:3" x14ac:dyDescent="0.25">
      <c r="C327" s="17" t="s">
        <v>77</v>
      </c>
    </row>
    <row r="328" spans="3:3" x14ac:dyDescent="0.25">
      <c r="C328" s="18" t="s">
        <v>78</v>
      </c>
    </row>
    <row r="329" spans="3:3" x14ac:dyDescent="0.25">
      <c r="C329" s="15" t="s">
        <v>423</v>
      </c>
    </row>
    <row r="330" spans="3:3" x14ac:dyDescent="0.25">
      <c r="C330" s="16" t="s">
        <v>277</v>
      </c>
    </row>
    <row r="331" spans="3:3" x14ac:dyDescent="0.25">
      <c r="C331" s="17" t="s">
        <v>79</v>
      </c>
    </row>
    <row r="332" spans="3:3" x14ac:dyDescent="0.25">
      <c r="C332" s="18" t="s">
        <v>80</v>
      </c>
    </row>
    <row r="333" spans="3:3" x14ac:dyDescent="0.25">
      <c r="C333" s="15" t="s">
        <v>278</v>
      </c>
    </row>
    <row r="334" spans="3:3" x14ac:dyDescent="0.25">
      <c r="C334" s="16" t="s">
        <v>279</v>
      </c>
    </row>
    <row r="335" spans="3:3" x14ac:dyDescent="0.25">
      <c r="C335" s="17" t="s">
        <v>81</v>
      </c>
    </row>
    <row r="336" spans="3:3" x14ac:dyDescent="0.25">
      <c r="C336" s="18" t="s">
        <v>82</v>
      </c>
    </row>
    <row r="337" spans="3:3" x14ac:dyDescent="0.25">
      <c r="C337" s="15" t="s">
        <v>280</v>
      </c>
    </row>
    <row r="338" spans="3:3" x14ac:dyDescent="0.25">
      <c r="C338" s="16" t="s">
        <v>281</v>
      </c>
    </row>
    <row r="339" spans="3:3" x14ac:dyDescent="0.25">
      <c r="C339" s="17" t="s">
        <v>83</v>
      </c>
    </row>
    <row r="340" spans="3:3" x14ac:dyDescent="0.25">
      <c r="C340" s="18" t="s">
        <v>84</v>
      </c>
    </row>
    <row r="341" spans="3:3" x14ac:dyDescent="0.25">
      <c r="C341" s="15" t="s">
        <v>282</v>
      </c>
    </row>
    <row r="342" spans="3:3" x14ac:dyDescent="0.25">
      <c r="C342" s="16" t="s">
        <v>283</v>
      </c>
    </row>
    <row r="343" spans="3:3" x14ac:dyDescent="0.25">
      <c r="C343" s="17" t="s">
        <v>85</v>
      </c>
    </row>
    <row r="344" spans="3:3" x14ac:dyDescent="0.25">
      <c r="C344" s="18" t="s">
        <v>86</v>
      </c>
    </row>
    <row r="345" spans="3:3" x14ac:dyDescent="0.25">
      <c r="C345" s="15" t="s">
        <v>284</v>
      </c>
    </row>
    <row r="346" spans="3:3" x14ac:dyDescent="0.25">
      <c r="C346" s="16" t="s">
        <v>285</v>
      </c>
    </row>
    <row r="347" spans="3:3" x14ac:dyDescent="0.25">
      <c r="C347" s="17" t="s">
        <v>87</v>
      </c>
    </row>
    <row r="348" spans="3:3" x14ac:dyDescent="0.25">
      <c r="C348" s="18" t="s">
        <v>424</v>
      </c>
    </row>
    <row r="349" spans="3:3" x14ac:dyDescent="0.25">
      <c r="C349" s="15" t="s">
        <v>286</v>
      </c>
    </row>
    <row r="350" spans="3:3" x14ac:dyDescent="0.25">
      <c r="C350" s="16" t="s">
        <v>287</v>
      </c>
    </row>
    <row r="351" spans="3:3" x14ac:dyDescent="0.25">
      <c r="C351" s="17" t="s">
        <v>425</v>
      </c>
    </row>
    <row r="352" spans="3:3" x14ac:dyDescent="0.25">
      <c r="C352" s="18" t="s">
        <v>90</v>
      </c>
    </row>
    <row r="353" spans="3:3" x14ac:dyDescent="0.25">
      <c r="C353" s="15" t="s">
        <v>288</v>
      </c>
    </row>
    <row r="354" spans="3:3" x14ac:dyDescent="0.25">
      <c r="C354" s="16" t="s">
        <v>289</v>
      </c>
    </row>
    <row r="355" spans="3:3" x14ac:dyDescent="0.25">
      <c r="C355" s="17" t="s">
        <v>91</v>
      </c>
    </row>
    <row r="356" spans="3:3" x14ac:dyDescent="0.25">
      <c r="C356" s="18" t="s">
        <v>92</v>
      </c>
    </row>
  </sheetData>
  <mergeCells count="15">
    <mergeCell ref="GZ6:HJ6"/>
    <mergeCell ref="HK6:HS6"/>
    <mergeCell ref="C5:D5"/>
    <mergeCell ref="D6:F6"/>
    <mergeCell ref="H6:K6"/>
    <mergeCell ref="L6:O6"/>
    <mergeCell ref="R6:Y6"/>
    <mergeCell ref="Z6:AF6"/>
    <mergeCell ref="AH6:AL6"/>
    <mergeCell ref="AM6:AW6"/>
    <mergeCell ref="AX6:BF6"/>
    <mergeCell ref="GA6:GA7"/>
    <mergeCell ref="GE6:GL6"/>
    <mergeCell ref="GM6:GS6"/>
    <mergeCell ref="GU6:GY6"/>
  </mergeCells>
  <phoneticPr fontId="5" type="noConversion"/>
  <conditionalFormatting sqref="BG4:FZ7">
    <cfRule type="expression" dxfId="5" priority="3">
      <formula>BG$4="休"</formula>
    </cfRule>
    <cfRule type="expression" dxfId="4" priority="4">
      <formula>BG$4="节"</formula>
    </cfRule>
  </conditionalFormatting>
  <conditionalFormatting sqref="HT4:MM7">
    <cfRule type="expression" dxfId="3" priority="1">
      <formula>HT$4="休"</formula>
    </cfRule>
    <cfRule type="expression" dxfId="2" priority="2">
      <formula>HT$4="节"</formula>
    </cfRule>
  </conditionalFormatting>
  <dataValidations count="3">
    <dataValidation type="list" allowBlank="1" showInputMessage="1" showErrorMessage="1" sqref="J2:O2 J7:O7 C17:C22 C14 G7 G2 E17:E22 E14" xr:uid="{00000000-0002-0000-0200-000000000000}">
      <formula1>业务线</formula1>
    </dataValidation>
    <dataValidation type="whole" allowBlank="1" showInputMessage="1" showErrorMessage="1" sqref="E5" xr:uid="{00000000-0002-0000-0200-000001000000}">
      <formula1>1</formula1>
      <formula2>12</formula2>
    </dataValidation>
    <dataValidation type="list" allowBlank="1" showInputMessage="1" showErrorMessage="1" sqref="G9" xr:uid="{00000000-0002-0000-0200-000002000000}">
      <formula1>"DEFAULT,CELL,COLUMN"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O179"/>
  <sheetViews>
    <sheetView workbookViewId="0">
      <pane ySplit="10" topLeftCell="A11" activePane="bottomLeft" state="frozen"/>
      <selection pane="bottomLeft" activeCell="I11" sqref="I11:K42"/>
    </sheetView>
  </sheetViews>
  <sheetFormatPr defaultRowHeight="14.4" x14ac:dyDescent="0.25"/>
  <sheetData>
    <row r="2" spans="1:171" s="3" customFormat="1" ht="26.4" x14ac:dyDescent="0.35">
      <c r="A2" s="111" t="s">
        <v>322</v>
      </c>
      <c r="B2" s="112" t="s">
        <v>427</v>
      </c>
      <c r="C2" s="113" t="s">
        <v>428</v>
      </c>
      <c r="D2" s="113" t="s">
        <v>1</v>
      </c>
      <c r="E2" s="113" t="s">
        <v>429</v>
      </c>
      <c r="F2" s="113" t="s">
        <v>430</v>
      </c>
      <c r="G2" s="113" t="s">
        <v>431</v>
      </c>
      <c r="H2" s="113" t="s">
        <v>432</v>
      </c>
      <c r="I2" s="113" t="s">
        <v>433</v>
      </c>
      <c r="J2" s="113" t="s">
        <v>434</v>
      </c>
      <c r="K2" s="114" t="s">
        <v>435</v>
      </c>
      <c r="L2" s="115" t="s">
        <v>436</v>
      </c>
      <c r="M2" s="116" t="s">
        <v>437</v>
      </c>
      <c r="N2" s="116" t="s">
        <v>438</v>
      </c>
      <c r="O2" s="117" t="s">
        <v>439</v>
      </c>
      <c r="P2" s="117" t="s">
        <v>440</v>
      </c>
      <c r="Q2" s="117" t="s">
        <v>441</v>
      </c>
      <c r="R2" s="117" t="s">
        <v>442</v>
      </c>
      <c r="S2" s="116" t="s">
        <v>443</v>
      </c>
      <c r="T2" s="118" t="s">
        <v>444</v>
      </c>
      <c r="U2" s="119" t="s">
        <v>445</v>
      </c>
      <c r="V2" s="113" t="s">
        <v>446</v>
      </c>
      <c r="W2" s="113" t="s">
        <v>447</v>
      </c>
      <c r="X2" s="113" t="s">
        <v>448</v>
      </c>
      <c r="Y2" s="113" t="s">
        <v>449</v>
      </c>
      <c r="Z2" s="120" t="s">
        <v>450</v>
      </c>
      <c r="AA2" s="120" t="s">
        <v>451</v>
      </c>
      <c r="AB2" s="113" t="s">
        <v>452</v>
      </c>
      <c r="AC2" s="121" t="s">
        <v>453</v>
      </c>
      <c r="AD2" s="121" t="s">
        <v>454</v>
      </c>
      <c r="AE2" s="121" t="s">
        <v>455</v>
      </c>
      <c r="AF2" s="112" t="s">
        <v>456</v>
      </c>
      <c r="AG2" s="112" t="s">
        <v>457</v>
      </c>
      <c r="AH2" s="122" t="s">
        <v>370</v>
      </c>
      <c r="AI2" s="122" t="s">
        <v>371</v>
      </c>
      <c r="AJ2" s="122" t="s">
        <v>372</v>
      </c>
      <c r="AK2" s="122" t="s">
        <v>373</v>
      </c>
      <c r="AL2" s="122" t="s">
        <v>374</v>
      </c>
      <c r="AM2" s="123" t="s">
        <v>458</v>
      </c>
      <c r="AN2" s="124" t="s">
        <v>459</v>
      </c>
      <c r="AO2" s="91" t="s">
        <v>460</v>
      </c>
      <c r="AP2" s="61" t="s">
        <v>461</v>
      </c>
      <c r="AQ2" s="61" t="s">
        <v>462</v>
      </c>
      <c r="AR2" s="62" t="s">
        <v>227</v>
      </c>
      <c r="AS2" s="63" t="s">
        <v>463</v>
      </c>
      <c r="AT2" s="64" t="s">
        <v>464</v>
      </c>
      <c r="AU2" s="15" t="s">
        <v>228</v>
      </c>
      <c r="AV2" s="16" t="s">
        <v>229</v>
      </c>
      <c r="AW2" s="17" t="s">
        <v>31</v>
      </c>
      <c r="AX2" s="18" t="s">
        <v>32</v>
      </c>
      <c r="AY2" s="15" t="s">
        <v>230</v>
      </c>
      <c r="AZ2" s="16" t="s">
        <v>231</v>
      </c>
      <c r="BA2" s="17" t="s">
        <v>33</v>
      </c>
      <c r="BB2" s="18" t="s">
        <v>34</v>
      </c>
      <c r="BC2" s="15" t="s">
        <v>232</v>
      </c>
      <c r="BD2" s="16" t="s">
        <v>233</v>
      </c>
      <c r="BE2" s="17" t="s">
        <v>35</v>
      </c>
      <c r="BF2" s="18" t="s">
        <v>36</v>
      </c>
      <c r="BG2" s="15" t="s">
        <v>234</v>
      </c>
      <c r="BH2" s="16" t="s">
        <v>235</v>
      </c>
      <c r="BI2" s="17" t="s">
        <v>37</v>
      </c>
      <c r="BJ2" s="18" t="s">
        <v>38</v>
      </c>
      <c r="BK2" s="15" t="s">
        <v>236</v>
      </c>
      <c r="BL2" s="16" t="s">
        <v>237</v>
      </c>
      <c r="BM2" s="17" t="s">
        <v>39</v>
      </c>
      <c r="BN2" s="18" t="s">
        <v>40</v>
      </c>
      <c r="BO2" s="15" t="s">
        <v>238</v>
      </c>
      <c r="BP2" s="16" t="s">
        <v>239</v>
      </c>
      <c r="BQ2" s="17" t="s">
        <v>41</v>
      </c>
      <c r="BR2" s="18" t="s">
        <v>42</v>
      </c>
      <c r="BS2" s="15" t="s">
        <v>240</v>
      </c>
      <c r="BT2" s="16" t="s">
        <v>241</v>
      </c>
      <c r="BU2" s="17" t="s">
        <v>43</v>
      </c>
      <c r="BV2" s="18" t="s">
        <v>44</v>
      </c>
      <c r="BW2" s="15" t="s">
        <v>242</v>
      </c>
      <c r="BX2" s="16" t="s">
        <v>243</v>
      </c>
      <c r="BY2" s="17" t="s">
        <v>45</v>
      </c>
      <c r="BZ2" s="18" t="s">
        <v>46</v>
      </c>
      <c r="CA2" s="15" t="s">
        <v>244</v>
      </c>
      <c r="CB2" s="16" t="s">
        <v>245</v>
      </c>
      <c r="CC2" s="17" t="s">
        <v>47</v>
      </c>
      <c r="CD2" s="18" t="s">
        <v>48</v>
      </c>
      <c r="CE2" s="15" t="s">
        <v>246</v>
      </c>
      <c r="CF2" s="16" t="s">
        <v>247</v>
      </c>
      <c r="CG2" s="17" t="s">
        <v>49</v>
      </c>
      <c r="CH2" s="18" t="s">
        <v>50</v>
      </c>
      <c r="CI2" s="15" t="s">
        <v>248</v>
      </c>
      <c r="CJ2" s="16" t="s">
        <v>249</v>
      </c>
      <c r="CK2" s="17" t="s">
        <v>51</v>
      </c>
      <c r="CL2" s="18" t="s">
        <v>52</v>
      </c>
      <c r="CM2" s="15" t="s">
        <v>250</v>
      </c>
      <c r="CN2" s="16" t="s">
        <v>251</v>
      </c>
      <c r="CO2" s="17" t="s">
        <v>53</v>
      </c>
      <c r="CP2" s="18" t="s">
        <v>54</v>
      </c>
      <c r="CQ2" s="15" t="s">
        <v>252</v>
      </c>
      <c r="CR2" s="16" t="s">
        <v>253</v>
      </c>
      <c r="CS2" s="17" t="s">
        <v>55</v>
      </c>
      <c r="CT2" s="18" t="s">
        <v>56</v>
      </c>
      <c r="CU2" s="15" t="s">
        <v>254</v>
      </c>
      <c r="CV2" s="16" t="s">
        <v>255</v>
      </c>
      <c r="CW2" s="17" t="s">
        <v>57</v>
      </c>
      <c r="CX2" s="18" t="s">
        <v>58</v>
      </c>
      <c r="CY2" s="15" t="s">
        <v>256</v>
      </c>
      <c r="CZ2" s="16" t="s">
        <v>257</v>
      </c>
      <c r="DA2" s="17" t="s">
        <v>59</v>
      </c>
      <c r="DB2" s="18" t="s">
        <v>60</v>
      </c>
      <c r="DC2" s="15" t="s">
        <v>258</v>
      </c>
      <c r="DD2" s="16" t="s">
        <v>259</v>
      </c>
      <c r="DE2" s="17" t="s">
        <v>61</v>
      </c>
      <c r="DF2" s="18" t="s">
        <v>62</v>
      </c>
      <c r="DG2" s="15" t="s">
        <v>260</v>
      </c>
      <c r="DH2" s="16" t="s">
        <v>261</v>
      </c>
      <c r="DI2" s="17" t="s">
        <v>63</v>
      </c>
      <c r="DJ2" s="18" t="s">
        <v>64</v>
      </c>
      <c r="DK2" s="15" t="s">
        <v>262</v>
      </c>
      <c r="DL2" s="16" t="s">
        <v>263</v>
      </c>
      <c r="DM2" s="17" t="s">
        <v>65</v>
      </c>
      <c r="DN2" s="18" t="s">
        <v>66</v>
      </c>
      <c r="DO2" s="15" t="s">
        <v>264</v>
      </c>
      <c r="DP2" s="16" t="s">
        <v>265</v>
      </c>
      <c r="DQ2" s="17" t="s">
        <v>67</v>
      </c>
      <c r="DR2" s="18" t="s">
        <v>68</v>
      </c>
      <c r="DS2" s="15" t="s">
        <v>266</v>
      </c>
      <c r="DT2" s="16" t="s">
        <v>267</v>
      </c>
      <c r="DU2" s="17" t="s">
        <v>69</v>
      </c>
      <c r="DV2" s="18" t="s">
        <v>70</v>
      </c>
      <c r="DW2" s="15" t="s">
        <v>268</v>
      </c>
      <c r="DX2" s="16" t="s">
        <v>269</v>
      </c>
      <c r="DY2" s="17" t="s">
        <v>71</v>
      </c>
      <c r="DZ2" s="18" t="s">
        <v>72</v>
      </c>
      <c r="EA2" s="15" t="s">
        <v>270</v>
      </c>
      <c r="EB2" s="16" t="s">
        <v>271</v>
      </c>
      <c r="EC2" s="17" t="s">
        <v>73</v>
      </c>
      <c r="ED2" s="18" t="s">
        <v>74</v>
      </c>
      <c r="EE2" s="15" t="s">
        <v>272</v>
      </c>
      <c r="EF2" s="16" t="s">
        <v>273</v>
      </c>
      <c r="EG2" s="17" t="s">
        <v>75</v>
      </c>
      <c r="EH2" s="18" t="s">
        <v>76</v>
      </c>
      <c r="EI2" s="15" t="s">
        <v>274</v>
      </c>
      <c r="EJ2" s="16" t="s">
        <v>275</v>
      </c>
      <c r="EK2" s="17" t="s">
        <v>77</v>
      </c>
      <c r="EL2" s="18" t="s">
        <v>78</v>
      </c>
      <c r="EM2" s="15" t="s">
        <v>276</v>
      </c>
      <c r="EN2" s="16" t="s">
        <v>277</v>
      </c>
      <c r="EO2" s="17" t="s">
        <v>79</v>
      </c>
      <c r="EP2" s="18" t="s">
        <v>80</v>
      </c>
      <c r="EQ2" s="15" t="s">
        <v>278</v>
      </c>
      <c r="ER2" s="16" t="s">
        <v>279</v>
      </c>
      <c r="ES2" s="17" t="s">
        <v>81</v>
      </c>
      <c r="ET2" s="18" t="s">
        <v>82</v>
      </c>
      <c r="EU2" s="15" t="s">
        <v>280</v>
      </c>
      <c r="EV2" s="16" t="s">
        <v>281</v>
      </c>
      <c r="EW2" s="17" t="s">
        <v>83</v>
      </c>
      <c r="EX2" s="18" t="s">
        <v>84</v>
      </c>
      <c r="EY2" s="15" t="s">
        <v>282</v>
      </c>
      <c r="EZ2" s="16" t="s">
        <v>283</v>
      </c>
      <c r="FA2" s="17" t="s">
        <v>85</v>
      </c>
      <c r="FB2" s="18" t="s">
        <v>86</v>
      </c>
      <c r="FC2" s="15" t="s">
        <v>284</v>
      </c>
      <c r="FD2" s="16" t="s">
        <v>285</v>
      </c>
      <c r="FE2" s="17" t="s">
        <v>87</v>
      </c>
      <c r="FF2" s="18" t="s">
        <v>88</v>
      </c>
      <c r="FG2" s="15" t="s">
        <v>286</v>
      </c>
      <c r="FH2" s="16" t="s">
        <v>287</v>
      </c>
      <c r="FI2" s="17" t="s">
        <v>89</v>
      </c>
      <c r="FJ2" s="18" t="s">
        <v>90</v>
      </c>
      <c r="FK2" s="15" t="s">
        <v>288</v>
      </c>
      <c r="FL2" s="16" t="s">
        <v>289</v>
      </c>
      <c r="FM2" s="17" t="s">
        <v>91</v>
      </c>
      <c r="FN2" s="18" t="s">
        <v>92</v>
      </c>
      <c r="FO2" s="53"/>
    </row>
    <row r="3" spans="1:171" s="140" customFormat="1" ht="13.2" x14ac:dyDescent="0.35">
      <c r="A3" s="111" t="s">
        <v>322</v>
      </c>
      <c r="B3" s="125">
        <v>1</v>
      </c>
      <c r="C3" s="126" t="s">
        <v>322</v>
      </c>
      <c r="D3" s="127"/>
      <c r="E3" s="128"/>
      <c r="F3" s="128"/>
      <c r="G3" s="127"/>
      <c r="H3" s="128"/>
      <c r="I3" s="128"/>
      <c r="J3" s="129"/>
      <c r="K3" s="130"/>
      <c r="L3" s="131"/>
      <c r="M3" s="129"/>
      <c r="N3" s="130"/>
      <c r="O3" s="130"/>
      <c r="P3" s="128"/>
      <c r="Q3" s="128"/>
      <c r="R3" s="130"/>
      <c r="S3" s="130"/>
      <c r="T3" s="130"/>
      <c r="U3" s="130"/>
      <c r="V3" s="128"/>
      <c r="W3" s="127"/>
      <c r="X3" s="127"/>
      <c r="Y3" s="127">
        <f>COLUMN(Y7)-COLUMN($D$7)+1</f>
        <v>22</v>
      </c>
      <c r="Z3" s="132">
        <v>36</v>
      </c>
      <c r="AA3" s="133">
        <v>37</v>
      </c>
      <c r="AB3" s="127"/>
      <c r="AC3" s="134"/>
      <c r="AD3" s="130"/>
      <c r="AE3" s="130"/>
      <c r="AF3" s="127"/>
      <c r="AG3" s="127"/>
      <c r="AH3" s="127"/>
      <c r="AI3" s="127"/>
      <c r="AJ3" s="127"/>
      <c r="AK3" s="127"/>
      <c r="AL3" s="127"/>
      <c r="AM3" s="127"/>
      <c r="AN3" s="135"/>
      <c r="AO3" s="127"/>
      <c r="AP3" s="127"/>
      <c r="AQ3" s="127"/>
      <c r="AR3" s="127"/>
      <c r="AS3" s="127"/>
      <c r="AT3" s="127"/>
      <c r="AU3" s="136"/>
      <c r="AV3" s="137"/>
      <c r="AW3" s="137"/>
      <c r="AX3" s="138"/>
      <c r="AY3" s="136"/>
      <c r="AZ3" s="137"/>
      <c r="BA3" s="137"/>
      <c r="BB3" s="138"/>
      <c r="BC3" s="136"/>
      <c r="BD3" s="137"/>
      <c r="BE3" s="137"/>
      <c r="BF3" s="138"/>
      <c r="BG3" s="136"/>
      <c r="BH3" s="137"/>
      <c r="BI3" s="137"/>
      <c r="BJ3" s="138"/>
      <c r="BK3" s="136"/>
      <c r="BL3" s="137"/>
      <c r="BM3" s="137"/>
      <c r="BN3" s="138"/>
      <c r="BO3" s="136"/>
      <c r="BP3" s="137"/>
      <c r="BQ3" s="137"/>
      <c r="BR3" s="138"/>
      <c r="BS3" s="136"/>
      <c r="BT3" s="137"/>
      <c r="BU3" s="137"/>
      <c r="BV3" s="138"/>
      <c r="BW3" s="136"/>
      <c r="BX3" s="137"/>
      <c r="BY3" s="137"/>
      <c r="BZ3" s="138"/>
      <c r="CA3" s="136"/>
      <c r="CB3" s="137"/>
      <c r="CC3" s="137"/>
      <c r="CD3" s="138"/>
      <c r="CE3" s="136"/>
      <c r="CF3" s="137"/>
      <c r="CG3" s="137"/>
      <c r="CH3" s="138"/>
      <c r="CI3" s="136"/>
      <c r="CJ3" s="137"/>
      <c r="CK3" s="137"/>
      <c r="CL3" s="138"/>
      <c r="CM3" s="136"/>
      <c r="CN3" s="137"/>
      <c r="CO3" s="137"/>
      <c r="CP3" s="138"/>
      <c r="CQ3" s="136"/>
      <c r="CR3" s="137"/>
      <c r="CS3" s="137"/>
      <c r="CT3" s="138"/>
      <c r="CU3" s="136"/>
      <c r="CV3" s="137"/>
      <c r="CW3" s="137"/>
      <c r="CX3" s="138"/>
      <c r="CY3" s="136"/>
      <c r="CZ3" s="137"/>
      <c r="DA3" s="137"/>
      <c r="DB3" s="138"/>
      <c r="DC3" s="136"/>
      <c r="DD3" s="137"/>
      <c r="DE3" s="137"/>
      <c r="DF3" s="138"/>
      <c r="DG3" s="136"/>
      <c r="DH3" s="137"/>
      <c r="DI3" s="137"/>
      <c r="DJ3" s="138"/>
      <c r="DK3" s="136"/>
      <c r="DL3" s="137"/>
      <c r="DM3" s="137"/>
      <c r="DN3" s="138"/>
      <c r="DO3" s="136"/>
      <c r="DP3" s="137"/>
      <c r="DQ3" s="137"/>
      <c r="DR3" s="138"/>
      <c r="DS3" s="136"/>
      <c r="DT3" s="137"/>
      <c r="DU3" s="137"/>
      <c r="DV3" s="138"/>
      <c r="DW3" s="136"/>
      <c r="DX3" s="137"/>
      <c r="DY3" s="137"/>
      <c r="DZ3" s="138"/>
      <c r="EA3" s="136"/>
      <c r="EB3" s="137"/>
      <c r="EC3" s="137"/>
      <c r="ED3" s="138"/>
      <c r="EE3" s="136"/>
      <c r="EF3" s="137"/>
      <c r="EG3" s="137"/>
      <c r="EH3" s="138"/>
      <c r="EI3" s="136"/>
      <c r="EJ3" s="137"/>
      <c r="EK3" s="137"/>
      <c r="EL3" s="138"/>
      <c r="EM3" s="136"/>
      <c r="EN3" s="137"/>
      <c r="EO3" s="137"/>
      <c r="EP3" s="138"/>
      <c r="EQ3" s="136"/>
      <c r="ER3" s="137"/>
      <c r="ES3" s="137"/>
      <c r="ET3" s="138"/>
      <c r="EU3" s="136"/>
      <c r="EV3" s="137"/>
      <c r="EW3" s="137"/>
      <c r="EX3" s="138"/>
      <c r="EY3" s="136"/>
      <c r="EZ3" s="137"/>
      <c r="FA3" s="137"/>
      <c r="FB3" s="138"/>
      <c r="FC3" s="136"/>
      <c r="FD3" s="137"/>
      <c r="FE3" s="137"/>
      <c r="FF3" s="138"/>
      <c r="FG3" s="136"/>
      <c r="FH3" s="137"/>
      <c r="FI3" s="137"/>
      <c r="FJ3" s="138"/>
      <c r="FK3" s="136"/>
      <c r="FL3" s="137"/>
      <c r="FM3" s="137"/>
      <c r="FN3" s="138"/>
      <c r="FO3" s="139"/>
    </row>
    <row r="4" spans="1:171" s="140" customFormat="1" ht="13.2" x14ac:dyDescent="0.35">
      <c r="A4" s="111" t="s">
        <v>322</v>
      </c>
      <c r="C4" s="126" t="s">
        <v>322</v>
      </c>
      <c r="D4" s="127"/>
      <c r="E4" s="128"/>
      <c r="F4" s="128"/>
      <c r="G4" s="127"/>
      <c r="H4" s="128"/>
      <c r="I4" s="128"/>
      <c r="J4" s="141">
        <f>DATE($C$5,$E$5,1)</f>
        <v>41821</v>
      </c>
      <c r="K4" s="142" t="e">
        <f ca="1">$K$5</f>
        <v>#REF!</v>
      </c>
      <c r="L4" s="143"/>
      <c r="M4" s="141">
        <f>DATE($C$5,$E$5,1)</f>
        <v>41821</v>
      </c>
      <c r="N4" s="142" t="e">
        <f ca="1">$K$5</f>
        <v>#REF!</v>
      </c>
      <c r="O4" s="130"/>
      <c r="P4" s="128"/>
      <c r="Q4" s="128"/>
      <c r="R4" s="130"/>
      <c r="S4" s="130"/>
      <c r="T4" s="130"/>
      <c r="U4" s="130"/>
      <c r="V4" s="128"/>
      <c r="W4" s="127"/>
      <c r="X4" s="127"/>
      <c r="AB4" s="127"/>
      <c r="AC4" s="129"/>
      <c r="AD4" s="130"/>
      <c r="AE4" s="130"/>
      <c r="AF4" s="127"/>
      <c r="AG4" s="127"/>
      <c r="AH4" s="127"/>
      <c r="AI4" s="127"/>
      <c r="AJ4" s="127"/>
      <c r="AK4" s="127"/>
      <c r="AL4" s="127"/>
      <c r="AM4" s="127"/>
      <c r="AN4" s="135"/>
      <c r="AO4" s="127"/>
      <c r="AP4" s="127"/>
      <c r="AQ4" s="127"/>
      <c r="AR4" s="127"/>
      <c r="AS4" s="127"/>
      <c r="AT4" s="144">
        <f>COLUMN(AU7)</f>
        <v>47</v>
      </c>
      <c r="AU4" s="30" t="e">
        <f ca="1">AX6</f>
        <v>#REF!</v>
      </c>
      <c r="AV4" s="31" t="e">
        <f ca="1">AU4</f>
        <v>#REF!</v>
      </c>
      <c r="AW4" s="31" t="e">
        <f t="shared" ref="AW4:AX4" ca="1" si="0">AV4</f>
        <v>#REF!</v>
      </c>
      <c r="AX4" s="32" t="e">
        <f t="shared" ca="1" si="0"/>
        <v>#REF!</v>
      </c>
      <c r="AY4" s="30" t="e">
        <f ca="1">BB6</f>
        <v>#REF!</v>
      </c>
      <c r="AZ4" s="31" t="e">
        <f ca="1">AY4</f>
        <v>#REF!</v>
      </c>
      <c r="BA4" s="31" t="e">
        <f t="shared" ref="BA4:BB4" ca="1" si="1">AZ4</f>
        <v>#REF!</v>
      </c>
      <c r="BB4" s="32" t="e">
        <f t="shared" ca="1" si="1"/>
        <v>#REF!</v>
      </c>
      <c r="BC4" s="30" t="e">
        <f ca="1">BF6</f>
        <v>#REF!</v>
      </c>
      <c r="BD4" s="31" t="e">
        <f ca="1">BC4</f>
        <v>#REF!</v>
      </c>
      <c r="BE4" s="31" t="e">
        <f t="shared" ref="BE4:BF4" ca="1" si="2">BD4</f>
        <v>#REF!</v>
      </c>
      <c r="BF4" s="32" t="e">
        <f t="shared" ca="1" si="2"/>
        <v>#REF!</v>
      </c>
      <c r="BG4" s="30" t="e">
        <f ca="1">BJ6</f>
        <v>#REF!</v>
      </c>
      <c r="BH4" s="31" t="e">
        <f ca="1">BG4</f>
        <v>#REF!</v>
      </c>
      <c r="BI4" s="31" t="e">
        <f t="shared" ref="BI4:BJ4" ca="1" si="3">BH4</f>
        <v>#REF!</v>
      </c>
      <c r="BJ4" s="32" t="e">
        <f t="shared" ca="1" si="3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4">BL4</f>
        <v>#REF!</v>
      </c>
      <c r="BN4" s="32" t="e">
        <f t="shared" ca="1" si="4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5">BP4</f>
        <v>#REF!</v>
      </c>
      <c r="BR4" s="32" t="e">
        <f t="shared" ca="1" si="5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6">BT4</f>
        <v>#REF!</v>
      </c>
      <c r="BV4" s="32" t="e">
        <f t="shared" ca="1" si="6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7">BX4</f>
        <v>#REF!</v>
      </c>
      <c r="BZ4" s="32" t="e">
        <f t="shared" ca="1" si="7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8">CB4</f>
        <v>#REF!</v>
      </c>
      <c r="CD4" s="32" t="e">
        <f t="shared" ca="1" si="8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9">CF4</f>
        <v>#REF!</v>
      </c>
      <c r="CH4" s="32" t="e">
        <f t="shared" ca="1" si="9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10">CJ4</f>
        <v>#REF!</v>
      </c>
      <c r="CL4" s="32" t="e">
        <f t="shared" ca="1" si="10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11">CN4</f>
        <v>#REF!</v>
      </c>
      <c r="CP4" s="32" t="e">
        <f t="shared" ca="1" si="11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12">CR4</f>
        <v>#REF!</v>
      </c>
      <c r="CT4" s="32" t="e">
        <f t="shared" ca="1" si="12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3">CV4</f>
        <v>#REF!</v>
      </c>
      <c r="CX4" s="32" t="e">
        <f t="shared" ca="1" si="13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4">CZ4</f>
        <v>#REF!</v>
      </c>
      <c r="DB4" s="32" t="e">
        <f t="shared" ca="1" si="14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5">DD4</f>
        <v>#REF!</v>
      </c>
      <c r="DF4" s="32" t="e">
        <f t="shared" ca="1" si="15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6">DH4</f>
        <v>#REF!</v>
      </c>
      <c r="DJ4" s="32" t="e">
        <f t="shared" ca="1" si="16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7">DL4</f>
        <v>#REF!</v>
      </c>
      <c r="DN4" s="32" t="e">
        <f t="shared" ca="1" si="17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8">DP4</f>
        <v>#REF!</v>
      </c>
      <c r="DR4" s="32" t="e">
        <f t="shared" ca="1" si="18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9">DT4</f>
        <v>#REF!</v>
      </c>
      <c r="DV4" s="32" t="e">
        <f t="shared" ca="1" si="19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20">DX4</f>
        <v>#REF!</v>
      </c>
      <c r="DZ4" s="32" t="e">
        <f t="shared" ca="1" si="20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21">EB4</f>
        <v>#REF!</v>
      </c>
      <c r="ED4" s="32" t="e">
        <f t="shared" ca="1" si="21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22">EF4</f>
        <v>#REF!</v>
      </c>
      <c r="EH4" s="32" t="e">
        <f t="shared" ca="1" si="22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3">EJ4</f>
        <v>#REF!</v>
      </c>
      <c r="EL4" s="32" t="e">
        <f t="shared" ca="1" si="23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4">EN4</f>
        <v>#REF!</v>
      </c>
      <c r="EP4" s="32" t="e">
        <f t="shared" ca="1" si="24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5">ER4</f>
        <v>#REF!</v>
      </c>
      <c r="ET4" s="32" t="e">
        <f t="shared" ca="1" si="25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6">EV4</f>
        <v>#REF!</v>
      </c>
      <c r="EX4" s="32" t="e">
        <f t="shared" ca="1" si="26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7">EZ4</f>
        <v>#REF!</v>
      </c>
      <c r="FB4" s="32" t="e">
        <f t="shared" ca="1" si="27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8">FD4</f>
        <v>#REF!</v>
      </c>
      <c r="FF4" s="32" t="e">
        <f t="shared" ca="1" si="28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9">FH4</f>
        <v>#REF!</v>
      </c>
      <c r="FJ4" s="32" t="e">
        <f t="shared" ca="1" si="29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30">FL4</f>
        <v>#REF!</v>
      </c>
      <c r="FN4" s="32" t="e">
        <f t="shared" ca="1" si="30"/>
        <v>#REF!</v>
      </c>
      <c r="FO4" s="139"/>
    </row>
    <row r="5" spans="1:171" s="140" customFormat="1" ht="15.75" customHeight="1" x14ac:dyDescent="0.35">
      <c r="A5" s="111" t="s">
        <v>322</v>
      </c>
      <c r="B5" s="145" t="s">
        <v>465</v>
      </c>
      <c r="C5" s="177">
        <v>2014</v>
      </c>
      <c r="D5" s="178"/>
      <c r="E5" s="26">
        <v>7</v>
      </c>
      <c r="F5" s="146" t="s">
        <v>426</v>
      </c>
      <c r="G5" s="27">
        <f ca="1">COUNTIFS(OFFSET($AU$6,0,0,1,4*31),"工")*8</f>
        <v>0</v>
      </c>
      <c r="H5" s="146" t="s">
        <v>466</v>
      </c>
      <c r="I5" s="147">
        <v>5</v>
      </c>
      <c r="J5" s="146" t="s">
        <v>467</v>
      </c>
      <c r="K5" s="28" t="e">
        <f ca="1">VLOOKUP($E$5&amp;"-"&amp;$I$5,OFFSET(INDIRECT("行事历!C53"),0,0,100,6),6,FALSE)</f>
        <v>#REF!</v>
      </c>
      <c r="L5" s="146" t="s">
        <v>468</v>
      </c>
      <c r="M5" s="27" t="e">
        <f ca="1">COUNTIFS(OFFSET($AU$6,0,0,1,4*DAY($K$5)),"工")*8</f>
        <v>#REF!</v>
      </c>
      <c r="N5" s="148"/>
      <c r="O5" s="148"/>
      <c r="P5" s="148"/>
      <c r="Q5" s="148"/>
      <c r="R5" s="148"/>
      <c r="S5" s="148"/>
      <c r="T5" s="148"/>
      <c r="U5" s="148"/>
      <c r="V5" s="128"/>
      <c r="W5" s="148"/>
      <c r="X5" s="29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27"/>
      <c r="AL5" s="127"/>
      <c r="AM5" s="148"/>
      <c r="AN5" s="135"/>
      <c r="AO5" s="11"/>
      <c r="AP5" s="127"/>
      <c r="AQ5" s="127"/>
      <c r="AR5" s="127"/>
      <c r="AS5" s="127"/>
      <c r="AT5" s="127"/>
      <c r="AU5" s="30">
        <v>1</v>
      </c>
      <c r="AV5" s="31">
        <v>1</v>
      </c>
      <c r="AW5" s="31">
        <v>1</v>
      </c>
      <c r="AX5" s="32">
        <v>1</v>
      </c>
      <c r="AY5" s="30">
        <v>2</v>
      </c>
      <c r="AZ5" s="31">
        <v>2</v>
      </c>
      <c r="BA5" s="31">
        <v>2</v>
      </c>
      <c r="BB5" s="32">
        <v>2</v>
      </c>
      <c r="BC5" s="30">
        <v>3</v>
      </c>
      <c r="BD5" s="31">
        <v>3</v>
      </c>
      <c r="BE5" s="31">
        <v>3</v>
      </c>
      <c r="BF5" s="32">
        <v>3</v>
      </c>
      <c r="BG5" s="30">
        <v>4</v>
      </c>
      <c r="BH5" s="31">
        <v>4</v>
      </c>
      <c r="BI5" s="31">
        <v>4</v>
      </c>
      <c r="BJ5" s="32">
        <v>4</v>
      </c>
      <c r="BK5" s="30">
        <v>5</v>
      </c>
      <c r="BL5" s="31">
        <v>5</v>
      </c>
      <c r="BM5" s="31">
        <v>5</v>
      </c>
      <c r="BN5" s="32">
        <v>5</v>
      </c>
      <c r="BO5" s="30">
        <v>6</v>
      </c>
      <c r="BP5" s="31">
        <v>6</v>
      </c>
      <c r="BQ5" s="31">
        <v>6</v>
      </c>
      <c r="BR5" s="32">
        <v>6</v>
      </c>
      <c r="BS5" s="30">
        <v>7</v>
      </c>
      <c r="BT5" s="31">
        <v>7</v>
      </c>
      <c r="BU5" s="31">
        <v>7</v>
      </c>
      <c r="BV5" s="32">
        <v>7</v>
      </c>
      <c r="BW5" s="30">
        <v>8</v>
      </c>
      <c r="BX5" s="31">
        <v>8</v>
      </c>
      <c r="BY5" s="31">
        <v>8</v>
      </c>
      <c r="BZ5" s="32">
        <v>8</v>
      </c>
      <c r="CA5" s="30">
        <v>9</v>
      </c>
      <c r="CB5" s="31">
        <v>9</v>
      </c>
      <c r="CC5" s="31">
        <v>9</v>
      </c>
      <c r="CD5" s="32">
        <v>9</v>
      </c>
      <c r="CE5" s="30">
        <v>10</v>
      </c>
      <c r="CF5" s="31">
        <v>10</v>
      </c>
      <c r="CG5" s="31">
        <v>10</v>
      </c>
      <c r="CH5" s="32">
        <v>10</v>
      </c>
      <c r="CI5" s="30">
        <v>11</v>
      </c>
      <c r="CJ5" s="31">
        <v>11</v>
      </c>
      <c r="CK5" s="31">
        <v>11</v>
      </c>
      <c r="CL5" s="32">
        <v>11</v>
      </c>
      <c r="CM5" s="30">
        <v>12</v>
      </c>
      <c r="CN5" s="31">
        <v>12</v>
      </c>
      <c r="CO5" s="31">
        <v>12</v>
      </c>
      <c r="CP5" s="32">
        <v>12</v>
      </c>
      <c r="CQ5" s="30">
        <v>13</v>
      </c>
      <c r="CR5" s="31">
        <v>13</v>
      </c>
      <c r="CS5" s="31">
        <v>13</v>
      </c>
      <c r="CT5" s="32">
        <v>13</v>
      </c>
      <c r="CU5" s="30">
        <v>14</v>
      </c>
      <c r="CV5" s="31">
        <v>14</v>
      </c>
      <c r="CW5" s="31">
        <v>14</v>
      </c>
      <c r="CX5" s="32">
        <v>14</v>
      </c>
      <c r="CY5" s="30">
        <v>15</v>
      </c>
      <c r="CZ5" s="31">
        <v>15</v>
      </c>
      <c r="DA5" s="31">
        <v>15</v>
      </c>
      <c r="DB5" s="32">
        <v>15</v>
      </c>
      <c r="DC5" s="30">
        <v>16</v>
      </c>
      <c r="DD5" s="31">
        <v>16</v>
      </c>
      <c r="DE5" s="31">
        <v>16</v>
      </c>
      <c r="DF5" s="32">
        <v>16</v>
      </c>
      <c r="DG5" s="30">
        <v>17</v>
      </c>
      <c r="DH5" s="31">
        <v>17</v>
      </c>
      <c r="DI5" s="31">
        <v>17</v>
      </c>
      <c r="DJ5" s="32">
        <v>17</v>
      </c>
      <c r="DK5" s="30">
        <v>18</v>
      </c>
      <c r="DL5" s="31">
        <v>18</v>
      </c>
      <c r="DM5" s="31">
        <v>18</v>
      </c>
      <c r="DN5" s="32">
        <v>18</v>
      </c>
      <c r="DO5" s="30">
        <v>19</v>
      </c>
      <c r="DP5" s="31">
        <v>19</v>
      </c>
      <c r="DQ5" s="31">
        <v>19</v>
      </c>
      <c r="DR5" s="32">
        <v>19</v>
      </c>
      <c r="DS5" s="30">
        <v>20</v>
      </c>
      <c r="DT5" s="31">
        <v>20</v>
      </c>
      <c r="DU5" s="31">
        <v>20</v>
      </c>
      <c r="DV5" s="32">
        <v>20</v>
      </c>
      <c r="DW5" s="30">
        <v>21</v>
      </c>
      <c r="DX5" s="31">
        <v>21</v>
      </c>
      <c r="DY5" s="31">
        <v>21</v>
      </c>
      <c r="DZ5" s="32">
        <v>21</v>
      </c>
      <c r="EA5" s="30">
        <v>22</v>
      </c>
      <c r="EB5" s="31">
        <v>22</v>
      </c>
      <c r="EC5" s="31">
        <v>22</v>
      </c>
      <c r="ED5" s="32">
        <v>22</v>
      </c>
      <c r="EE5" s="30">
        <v>23</v>
      </c>
      <c r="EF5" s="31">
        <v>23</v>
      </c>
      <c r="EG5" s="31">
        <v>23</v>
      </c>
      <c r="EH5" s="32">
        <v>23</v>
      </c>
      <c r="EI5" s="30">
        <v>24</v>
      </c>
      <c r="EJ5" s="31">
        <v>24</v>
      </c>
      <c r="EK5" s="31">
        <v>24</v>
      </c>
      <c r="EL5" s="32">
        <v>24</v>
      </c>
      <c r="EM5" s="30">
        <v>25</v>
      </c>
      <c r="EN5" s="31">
        <v>25</v>
      </c>
      <c r="EO5" s="31">
        <v>25</v>
      </c>
      <c r="EP5" s="32">
        <v>25</v>
      </c>
      <c r="EQ5" s="30">
        <v>26</v>
      </c>
      <c r="ER5" s="31">
        <v>26</v>
      </c>
      <c r="ES5" s="31">
        <v>26</v>
      </c>
      <c r="ET5" s="32">
        <v>26</v>
      </c>
      <c r="EU5" s="30">
        <v>27</v>
      </c>
      <c r="EV5" s="31">
        <v>27</v>
      </c>
      <c r="EW5" s="31">
        <v>27</v>
      </c>
      <c r="EX5" s="32">
        <v>27</v>
      </c>
      <c r="EY5" s="30">
        <v>28</v>
      </c>
      <c r="EZ5" s="31">
        <v>28</v>
      </c>
      <c r="FA5" s="31">
        <v>28</v>
      </c>
      <c r="FB5" s="32">
        <v>28</v>
      </c>
      <c r="FC5" s="30">
        <v>29</v>
      </c>
      <c r="FD5" s="31">
        <v>29</v>
      </c>
      <c r="FE5" s="31">
        <v>29</v>
      </c>
      <c r="FF5" s="32">
        <v>29</v>
      </c>
      <c r="FG5" s="30">
        <v>30</v>
      </c>
      <c r="FH5" s="31">
        <v>30</v>
      </c>
      <c r="FI5" s="31">
        <v>30</v>
      </c>
      <c r="FJ5" s="32">
        <v>30</v>
      </c>
      <c r="FK5" s="30">
        <v>31</v>
      </c>
      <c r="FL5" s="31">
        <v>31</v>
      </c>
      <c r="FM5" s="31">
        <v>31</v>
      </c>
      <c r="FN5" s="32">
        <v>31</v>
      </c>
      <c r="FO5" s="149"/>
    </row>
    <row r="6" spans="1:171" s="140" customFormat="1" ht="14.25" customHeight="1" x14ac:dyDescent="0.25">
      <c r="A6" s="111" t="s">
        <v>322</v>
      </c>
      <c r="B6" s="150" t="s">
        <v>322</v>
      </c>
      <c r="C6" s="198" t="s">
        <v>469</v>
      </c>
      <c r="D6" s="199"/>
      <c r="E6" s="199"/>
      <c r="F6" s="199"/>
      <c r="G6" s="199"/>
      <c r="H6" s="199"/>
      <c r="I6" s="199"/>
      <c r="J6" s="199"/>
      <c r="K6" s="199"/>
      <c r="L6" s="200" t="s">
        <v>470</v>
      </c>
      <c r="M6" s="202" t="s">
        <v>471</v>
      </c>
      <c r="N6" s="203"/>
      <c r="O6" s="203"/>
      <c r="P6" s="203"/>
      <c r="Q6" s="203"/>
      <c r="R6" s="203"/>
      <c r="S6" s="203"/>
      <c r="T6" s="203"/>
      <c r="U6" s="204" t="s">
        <v>472</v>
      </c>
      <c r="V6" s="205"/>
      <c r="W6" s="205"/>
      <c r="X6" s="205"/>
      <c r="Y6" s="205"/>
      <c r="Z6" s="205"/>
      <c r="AA6" s="205"/>
      <c r="AB6" s="206"/>
      <c r="AC6" s="207" t="s">
        <v>473</v>
      </c>
      <c r="AD6" s="208"/>
      <c r="AE6" s="208"/>
      <c r="AF6" s="208"/>
      <c r="AG6" s="208"/>
      <c r="AH6" s="208"/>
      <c r="AI6" s="208"/>
      <c r="AJ6" s="208"/>
      <c r="AK6" s="208"/>
      <c r="AL6" s="209"/>
      <c r="AM6" s="196" t="s">
        <v>474</v>
      </c>
      <c r="AN6" s="197"/>
      <c r="AO6" s="197"/>
      <c r="AP6" s="197"/>
      <c r="AQ6" s="197"/>
      <c r="AR6" s="197"/>
      <c r="AS6" s="197"/>
      <c r="AT6" s="197"/>
      <c r="AU6" s="151" t="e">
        <f ca="1">OFFSET(INDIRECT("行事历!$D$3"),4*($E$5-1)+3,AU$5-1,1,1)</f>
        <v>#REF!</v>
      </c>
      <c r="AV6" s="152" t="e">
        <f ca="1">OFFSET(INDIRECT("行事历!$D$3"),4*($E$5-1)+1,AV$5-1,1,1)</f>
        <v>#REF!</v>
      </c>
      <c r="AW6" s="153" t="e">
        <f ca="1">AU6</f>
        <v>#REF!</v>
      </c>
      <c r="AX6" s="154" t="e">
        <f ca="1">OFFSET(INDIRECT("行事历!$D$3"),4*($E$5-1)+4,AX$5-1,1,1)</f>
        <v>#REF!</v>
      </c>
      <c r="AY6" s="151" t="e">
        <f ca="1">OFFSET(INDIRECT("行事历!$D$3"),4*($E$5-1)+3,AY$5-1,1,1)</f>
        <v>#REF!</v>
      </c>
      <c r="AZ6" s="152" t="e">
        <f ca="1">OFFSET(INDIRECT("行事历!$D$3"),4*($E$5-1)+1,AZ$5-1,1,1)</f>
        <v>#REF!</v>
      </c>
      <c r="BA6" s="153" t="e">
        <f ca="1">AY6</f>
        <v>#REF!</v>
      </c>
      <c r="BB6" s="154" t="e">
        <f ca="1">OFFSET(INDIRECT("行事历!$D$3"),4*($E$5-1)+4,BB$5-1,1,1)</f>
        <v>#REF!</v>
      </c>
      <c r="BC6" s="151" t="e">
        <f ca="1">OFFSET(INDIRECT("行事历!$D$3"),4*($E$5-1)+3,BC$5-1,1,1)</f>
        <v>#REF!</v>
      </c>
      <c r="BD6" s="152" t="e">
        <f ca="1">OFFSET(INDIRECT("行事历!$D$3"),4*($E$5-1)+1,BD$5-1,1,1)</f>
        <v>#REF!</v>
      </c>
      <c r="BE6" s="153" t="e">
        <f ca="1">BC6</f>
        <v>#REF!</v>
      </c>
      <c r="BF6" s="154" t="e">
        <f ca="1">OFFSET(INDIRECT("行事历!$D$3"),4*($E$5-1)+4,BF$5-1,1,1)</f>
        <v>#REF!</v>
      </c>
      <c r="BG6" s="151" t="e">
        <f ca="1">OFFSET(INDIRECT("行事历!$D$3"),4*($E$5-1)+3,BG$5-1,1,1)</f>
        <v>#REF!</v>
      </c>
      <c r="BH6" s="152" t="e">
        <f ca="1">OFFSET(INDIRECT("行事历!$D$3"),4*($E$5-1)+1,BH$5-1,1,1)</f>
        <v>#REF!</v>
      </c>
      <c r="BI6" s="153" t="e">
        <f ca="1">BG6</f>
        <v>#REF!</v>
      </c>
      <c r="BJ6" s="154" t="e">
        <f ca="1">OFFSET(INDIRECT("行事历!$D$3"),4*($E$5-1)+4,BJ$5-1,1,1)</f>
        <v>#REF!</v>
      </c>
      <c r="BK6" s="151" t="e">
        <f ca="1">OFFSET(INDIRECT("行事历!$D$3"),4*($E$5-1)+3,BK$5-1,1,1)</f>
        <v>#REF!</v>
      </c>
      <c r="BL6" s="152" t="e">
        <f ca="1">OFFSET(INDIRECT("行事历!$D$3"),4*($E$5-1)+1,BL$5-1,1,1)</f>
        <v>#REF!</v>
      </c>
      <c r="BM6" s="153" t="e">
        <f ca="1">BK6</f>
        <v>#REF!</v>
      </c>
      <c r="BN6" s="154" t="e">
        <f ca="1">OFFSET(INDIRECT("行事历!$D$3"),4*($E$5-1)+4,BN$5-1,1,1)</f>
        <v>#REF!</v>
      </c>
      <c r="BO6" s="151" t="e">
        <f ca="1">OFFSET(INDIRECT("行事历!$D$3"),4*($E$5-1)+3,BO$5-1,1,1)</f>
        <v>#REF!</v>
      </c>
      <c r="BP6" s="152" t="e">
        <f ca="1">OFFSET(INDIRECT("行事历!$D$3"),4*($E$5-1)+1,BP$5-1,1,1)</f>
        <v>#REF!</v>
      </c>
      <c r="BQ6" s="153" t="e">
        <f ca="1">BO6</f>
        <v>#REF!</v>
      </c>
      <c r="BR6" s="154" t="e">
        <f ca="1">OFFSET(INDIRECT("行事历!$D$3"),4*($E$5-1)+4,BR$5-1,1,1)</f>
        <v>#REF!</v>
      </c>
      <c r="BS6" s="151" t="e">
        <f ca="1">OFFSET(INDIRECT("行事历!$D$3"),4*($E$5-1)+3,BS$5-1,1,1)</f>
        <v>#REF!</v>
      </c>
      <c r="BT6" s="152" t="e">
        <f ca="1">OFFSET(INDIRECT("行事历!$D$3"),4*($E$5-1)+1,BT$5-1,1,1)</f>
        <v>#REF!</v>
      </c>
      <c r="BU6" s="153" t="e">
        <f ca="1">BS6</f>
        <v>#REF!</v>
      </c>
      <c r="BV6" s="154" t="e">
        <f ca="1">OFFSET(INDIRECT("行事历!$D$3"),4*($E$5-1)+4,BV$5-1,1,1)</f>
        <v>#REF!</v>
      </c>
      <c r="BW6" s="151" t="e">
        <f ca="1">OFFSET(INDIRECT("行事历!$D$3"),4*($E$5-1)+3,BW$5-1,1,1)</f>
        <v>#REF!</v>
      </c>
      <c r="BX6" s="152" t="e">
        <f ca="1">OFFSET(INDIRECT("行事历!$D$3"),4*($E$5-1)+1,BX$5-1,1,1)</f>
        <v>#REF!</v>
      </c>
      <c r="BY6" s="153" t="e">
        <f ca="1">BW6</f>
        <v>#REF!</v>
      </c>
      <c r="BZ6" s="154" t="e">
        <f ca="1">OFFSET(INDIRECT("行事历!$D$3"),4*($E$5-1)+4,BZ$5-1,1,1)</f>
        <v>#REF!</v>
      </c>
      <c r="CA6" s="151" t="e">
        <f ca="1">OFFSET(INDIRECT("行事历!$D$3"),4*($E$5-1)+3,CA$5-1,1,1)</f>
        <v>#REF!</v>
      </c>
      <c r="CB6" s="152" t="e">
        <f ca="1">OFFSET(INDIRECT("行事历!$D$3"),4*($E$5-1)+1,CB$5-1,1,1)</f>
        <v>#REF!</v>
      </c>
      <c r="CC6" s="153" t="e">
        <f ca="1">CA6</f>
        <v>#REF!</v>
      </c>
      <c r="CD6" s="154" t="e">
        <f ca="1">OFFSET(INDIRECT("行事历!$D$3"),4*($E$5-1)+4,CD$5-1,1,1)</f>
        <v>#REF!</v>
      </c>
      <c r="CE6" s="151" t="e">
        <f ca="1">OFFSET(INDIRECT("行事历!$D$3"),4*($E$5-1)+3,CE$5-1,1,1)</f>
        <v>#REF!</v>
      </c>
      <c r="CF6" s="152" t="e">
        <f ca="1">OFFSET(INDIRECT("行事历!$D$3"),4*($E$5-1)+1,CF$5-1,1,1)</f>
        <v>#REF!</v>
      </c>
      <c r="CG6" s="153" t="e">
        <f ca="1">CE6</f>
        <v>#REF!</v>
      </c>
      <c r="CH6" s="154" t="e">
        <f ca="1">OFFSET(INDIRECT("行事历!$D$3"),4*($E$5-1)+4,CH$5-1,1,1)</f>
        <v>#REF!</v>
      </c>
      <c r="CI6" s="151" t="e">
        <f ca="1">OFFSET(INDIRECT("行事历!$D$3"),4*($E$5-1)+3,CI$5-1,1,1)</f>
        <v>#REF!</v>
      </c>
      <c r="CJ6" s="152" t="e">
        <f ca="1">OFFSET(INDIRECT("行事历!$D$3"),4*($E$5-1)+1,CJ$5-1,1,1)</f>
        <v>#REF!</v>
      </c>
      <c r="CK6" s="153" t="e">
        <f ca="1">CI6</f>
        <v>#REF!</v>
      </c>
      <c r="CL6" s="154" t="e">
        <f ca="1">OFFSET(INDIRECT("行事历!$D$3"),4*($E$5-1)+4,CL$5-1,1,1)</f>
        <v>#REF!</v>
      </c>
      <c r="CM6" s="151" t="e">
        <f ca="1">OFFSET(INDIRECT("行事历!$D$3"),4*($E$5-1)+3,CM$5-1,1,1)</f>
        <v>#REF!</v>
      </c>
      <c r="CN6" s="152" t="e">
        <f ca="1">OFFSET(INDIRECT("行事历!$D$3"),4*($E$5-1)+1,CN$5-1,1,1)</f>
        <v>#REF!</v>
      </c>
      <c r="CO6" s="153" t="e">
        <f ca="1">CM6</f>
        <v>#REF!</v>
      </c>
      <c r="CP6" s="154" t="e">
        <f ca="1">OFFSET(INDIRECT("行事历!$D$3"),4*($E$5-1)+4,CP$5-1,1,1)</f>
        <v>#REF!</v>
      </c>
      <c r="CQ6" s="151" t="e">
        <f ca="1">OFFSET(INDIRECT("行事历!$D$3"),4*($E$5-1)+3,CQ$5-1,1,1)</f>
        <v>#REF!</v>
      </c>
      <c r="CR6" s="152" t="e">
        <f ca="1">OFFSET(INDIRECT("行事历!$D$3"),4*($E$5-1)+1,CR$5-1,1,1)</f>
        <v>#REF!</v>
      </c>
      <c r="CS6" s="153" t="e">
        <f ca="1">CQ6</f>
        <v>#REF!</v>
      </c>
      <c r="CT6" s="154" t="e">
        <f ca="1">OFFSET(INDIRECT("行事历!$D$3"),4*($E$5-1)+4,CT$5-1,1,1)</f>
        <v>#REF!</v>
      </c>
      <c r="CU6" s="151" t="e">
        <f ca="1">OFFSET(INDIRECT("行事历!$D$3"),4*($E$5-1)+3,CU$5-1,1,1)</f>
        <v>#REF!</v>
      </c>
      <c r="CV6" s="152" t="e">
        <f ca="1">OFFSET(INDIRECT("行事历!$D$3"),4*($E$5-1)+1,CV$5-1,1,1)</f>
        <v>#REF!</v>
      </c>
      <c r="CW6" s="153" t="e">
        <f ca="1">CU6</f>
        <v>#REF!</v>
      </c>
      <c r="CX6" s="154" t="e">
        <f ca="1">OFFSET(INDIRECT("行事历!$D$3"),4*($E$5-1)+4,CX$5-1,1,1)</f>
        <v>#REF!</v>
      </c>
      <c r="CY6" s="151" t="e">
        <f ca="1">OFFSET(INDIRECT("行事历!$D$3"),4*($E$5-1)+3,CY$5-1,1,1)</f>
        <v>#REF!</v>
      </c>
      <c r="CZ6" s="152" t="e">
        <f ca="1">OFFSET(INDIRECT("行事历!$D$3"),4*($E$5-1)+1,CZ$5-1,1,1)</f>
        <v>#REF!</v>
      </c>
      <c r="DA6" s="153" t="e">
        <f ca="1">CY6</f>
        <v>#REF!</v>
      </c>
      <c r="DB6" s="154" t="e">
        <f ca="1">OFFSET(INDIRECT("行事历!$D$3"),4*($E$5-1)+4,DB$5-1,1,1)</f>
        <v>#REF!</v>
      </c>
      <c r="DC6" s="151" t="e">
        <f ca="1">OFFSET(INDIRECT("行事历!$D$3"),4*($E$5-1)+3,DC$5-1,1,1)</f>
        <v>#REF!</v>
      </c>
      <c r="DD6" s="152" t="e">
        <f ca="1">OFFSET(INDIRECT("行事历!$D$3"),4*($E$5-1)+1,DD$5-1,1,1)</f>
        <v>#REF!</v>
      </c>
      <c r="DE6" s="153" t="e">
        <f ca="1">DC6</f>
        <v>#REF!</v>
      </c>
      <c r="DF6" s="154" t="e">
        <f ca="1">OFFSET(INDIRECT("行事历!$D$3"),4*($E$5-1)+4,DF$5-1,1,1)</f>
        <v>#REF!</v>
      </c>
      <c r="DG6" s="151" t="e">
        <f ca="1">OFFSET(INDIRECT("行事历!$D$3"),4*($E$5-1)+3,DG$5-1,1,1)</f>
        <v>#REF!</v>
      </c>
      <c r="DH6" s="152" t="e">
        <f ca="1">OFFSET(INDIRECT("行事历!$D$3"),4*($E$5-1)+1,DH$5-1,1,1)</f>
        <v>#REF!</v>
      </c>
      <c r="DI6" s="153" t="e">
        <f ca="1">DG6</f>
        <v>#REF!</v>
      </c>
      <c r="DJ6" s="154" t="e">
        <f ca="1">OFFSET(INDIRECT("行事历!$D$3"),4*($E$5-1)+4,DJ$5-1,1,1)</f>
        <v>#REF!</v>
      </c>
      <c r="DK6" s="151" t="e">
        <f ca="1">OFFSET(INDIRECT("行事历!$D$3"),4*($E$5-1)+3,DK$5-1,1,1)</f>
        <v>#REF!</v>
      </c>
      <c r="DL6" s="152" t="e">
        <f ca="1">OFFSET(INDIRECT("行事历!$D$3"),4*($E$5-1)+1,DL$5-1,1,1)</f>
        <v>#REF!</v>
      </c>
      <c r="DM6" s="153" t="e">
        <f ca="1">DK6</f>
        <v>#REF!</v>
      </c>
      <c r="DN6" s="154" t="e">
        <f ca="1">OFFSET(INDIRECT("行事历!$D$3"),4*($E$5-1)+4,DN$5-1,1,1)</f>
        <v>#REF!</v>
      </c>
      <c r="DO6" s="151" t="e">
        <f ca="1">OFFSET(INDIRECT("行事历!$D$3"),4*($E$5-1)+3,DO$5-1,1,1)</f>
        <v>#REF!</v>
      </c>
      <c r="DP6" s="152" t="e">
        <f ca="1">OFFSET(INDIRECT("行事历!$D$3"),4*($E$5-1)+1,DP$5-1,1,1)</f>
        <v>#REF!</v>
      </c>
      <c r="DQ6" s="153" t="e">
        <f ca="1">DO6</f>
        <v>#REF!</v>
      </c>
      <c r="DR6" s="154" t="e">
        <f ca="1">OFFSET(INDIRECT("行事历!$D$3"),4*($E$5-1)+4,DR$5-1,1,1)</f>
        <v>#REF!</v>
      </c>
      <c r="DS6" s="151" t="e">
        <f ca="1">OFFSET(INDIRECT("行事历!$D$3"),4*($E$5-1)+3,DS$5-1,1,1)</f>
        <v>#REF!</v>
      </c>
      <c r="DT6" s="152" t="e">
        <f ca="1">OFFSET(INDIRECT("行事历!$D$3"),4*($E$5-1)+1,DT$5-1,1,1)</f>
        <v>#REF!</v>
      </c>
      <c r="DU6" s="153" t="e">
        <f ca="1">DS6</f>
        <v>#REF!</v>
      </c>
      <c r="DV6" s="154" t="e">
        <f ca="1">OFFSET(INDIRECT("行事历!$D$3"),4*($E$5-1)+4,DV$5-1,1,1)</f>
        <v>#REF!</v>
      </c>
      <c r="DW6" s="151" t="e">
        <f ca="1">OFFSET(INDIRECT("行事历!$D$3"),4*($E$5-1)+3,DW$5-1,1,1)</f>
        <v>#REF!</v>
      </c>
      <c r="DX6" s="152" t="e">
        <f ca="1">OFFSET(INDIRECT("行事历!$D$3"),4*($E$5-1)+1,DX$5-1,1,1)</f>
        <v>#REF!</v>
      </c>
      <c r="DY6" s="153" t="e">
        <f ca="1">DW6</f>
        <v>#REF!</v>
      </c>
      <c r="DZ6" s="154" t="e">
        <f ca="1">OFFSET(INDIRECT("行事历!$D$3"),4*($E$5-1)+4,DZ$5-1,1,1)</f>
        <v>#REF!</v>
      </c>
      <c r="EA6" s="151" t="e">
        <f ca="1">OFFSET(INDIRECT("行事历!$D$3"),4*($E$5-1)+3,EA$5-1,1,1)</f>
        <v>#REF!</v>
      </c>
      <c r="EB6" s="152" t="e">
        <f ca="1">OFFSET(INDIRECT("行事历!$D$3"),4*($E$5-1)+1,EB$5-1,1,1)</f>
        <v>#REF!</v>
      </c>
      <c r="EC6" s="153" t="e">
        <f ca="1">EA6</f>
        <v>#REF!</v>
      </c>
      <c r="ED6" s="154" t="e">
        <f ca="1">OFFSET(INDIRECT("行事历!$D$3"),4*($E$5-1)+4,ED$5-1,1,1)</f>
        <v>#REF!</v>
      </c>
      <c r="EE6" s="151" t="e">
        <f ca="1">OFFSET(INDIRECT("行事历!$D$3"),4*($E$5-1)+3,EE$5-1,1,1)</f>
        <v>#REF!</v>
      </c>
      <c r="EF6" s="152" t="e">
        <f ca="1">OFFSET(INDIRECT("行事历!$D$3"),4*($E$5-1)+1,EF$5-1,1,1)</f>
        <v>#REF!</v>
      </c>
      <c r="EG6" s="153" t="e">
        <f ca="1">EE6</f>
        <v>#REF!</v>
      </c>
      <c r="EH6" s="154" t="e">
        <f ca="1">OFFSET(INDIRECT("行事历!$D$3"),4*($E$5-1)+4,EH$5-1,1,1)</f>
        <v>#REF!</v>
      </c>
      <c r="EI6" s="151" t="e">
        <f ca="1">OFFSET(INDIRECT("行事历!$D$3"),4*($E$5-1)+3,EI$5-1,1,1)</f>
        <v>#REF!</v>
      </c>
      <c r="EJ6" s="152" t="e">
        <f ca="1">OFFSET(INDIRECT("行事历!$D$3"),4*($E$5-1)+1,EJ$5-1,1,1)</f>
        <v>#REF!</v>
      </c>
      <c r="EK6" s="153" t="e">
        <f ca="1">EI6</f>
        <v>#REF!</v>
      </c>
      <c r="EL6" s="154" t="e">
        <f ca="1">OFFSET(INDIRECT("行事历!$D$3"),4*($E$5-1)+4,EL$5-1,1,1)</f>
        <v>#REF!</v>
      </c>
      <c r="EM6" s="151" t="e">
        <f ca="1">OFFSET(INDIRECT("行事历!$D$3"),4*($E$5-1)+3,EM$5-1,1,1)</f>
        <v>#REF!</v>
      </c>
      <c r="EN6" s="152" t="e">
        <f ca="1">OFFSET(INDIRECT("行事历!$D$3"),4*($E$5-1)+1,EN$5-1,1,1)</f>
        <v>#REF!</v>
      </c>
      <c r="EO6" s="153" t="e">
        <f ca="1">EM6</f>
        <v>#REF!</v>
      </c>
      <c r="EP6" s="154" t="e">
        <f ca="1">OFFSET(INDIRECT("行事历!$D$3"),4*($E$5-1)+4,EP$5-1,1,1)</f>
        <v>#REF!</v>
      </c>
      <c r="EQ6" s="151" t="e">
        <f ca="1">OFFSET(INDIRECT("行事历!$D$3"),4*($E$5-1)+3,EQ$5-1,1,1)</f>
        <v>#REF!</v>
      </c>
      <c r="ER6" s="152" t="e">
        <f ca="1">OFFSET(INDIRECT("行事历!$D$3"),4*($E$5-1)+1,ER$5-1,1,1)</f>
        <v>#REF!</v>
      </c>
      <c r="ES6" s="153" t="e">
        <f ca="1">EQ6</f>
        <v>#REF!</v>
      </c>
      <c r="ET6" s="154" t="e">
        <f ca="1">OFFSET(INDIRECT("行事历!$D$3"),4*($E$5-1)+4,ET$5-1,1,1)</f>
        <v>#REF!</v>
      </c>
      <c r="EU6" s="151" t="e">
        <f ca="1">OFFSET(INDIRECT("行事历!$D$3"),4*($E$5-1)+3,EU$5-1,1,1)</f>
        <v>#REF!</v>
      </c>
      <c r="EV6" s="152" t="e">
        <f ca="1">OFFSET(INDIRECT("行事历!$D$3"),4*($E$5-1)+1,EV$5-1,1,1)</f>
        <v>#REF!</v>
      </c>
      <c r="EW6" s="153" t="e">
        <f ca="1">EU6</f>
        <v>#REF!</v>
      </c>
      <c r="EX6" s="154" t="e">
        <f ca="1">OFFSET(INDIRECT("行事历!$D$3"),4*($E$5-1)+4,EX$5-1,1,1)</f>
        <v>#REF!</v>
      </c>
      <c r="EY6" s="151" t="e">
        <f ca="1">OFFSET(INDIRECT("行事历!$D$3"),4*($E$5-1)+3,EY$5-1,1,1)</f>
        <v>#REF!</v>
      </c>
      <c r="EZ6" s="152" t="e">
        <f ca="1">OFFSET(INDIRECT("行事历!$D$3"),4*($E$5-1)+1,EZ$5-1,1,1)</f>
        <v>#REF!</v>
      </c>
      <c r="FA6" s="153" t="e">
        <f ca="1">EY6</f>
        <v>#REF!</v>
      </c>
      <c r="FB6" s="154" t="e">
        <f ca="1">OFFSET(INDIRECT("行事历!$D$3"),4*($E$5-1)+4,FB$5-1,1,1)</f>
        <v>#REF!</v>
      </c>
      <c r="FC6" s="151" t="e">
        <f ca="1">OFFSET(INDIRECT("行事历!$D$3"),4*($E$5-1)+3,FC$5-1,1,1)</f>
        <v>#REF!</v>
      </c>
      <c r="FD6" s="152" t="e">
        <f ca="1">OFFSET(INDIRECT("行事历!$D$3"),4*($E$5-1)+1,FD$5-1,1,1)</f>
        <v>#REF!</v>
      </c>
      <c r="FE6" s="153" t="e">
        <f ca="1">FC6</f>
        <v>#REF!</v>
      </c>
      <c r="FF6" s="154" t="e">
        <f ca="1">OFFSET(INDIRECT("行事历!$D$3"),4*($E$5-1)+4,FF$5-1,1,1)</f>
        <v>#REF!</v>
      </c>
      <c r="FG6" s="151" t="e">
        <f ca="1">OFFSET(INDIRECT("行事历!$D$3"),4*($E$5-1)+3,FG$5-1,1,1)</f>
        <v>#REF!</v>
      </c>
      <c r="FH6" s="152" t="e">
        <f ca="1">OFFSET(INDIRECT("行事历!$D$3"),4*($E$5-1)+1,FH$5-1,1,1)</f>
        <v>#REF!</v>
      </c>
      <c r="FI6" s="153" t="e">
        <f ca="1">FG6</f>
        <v>#REF!</v>
      </c>
      <c r="FJ6" s="154" t="e">
        <f ca="1">OFFSET(INDIRECT("行事历!$D$3"),4*($E$5-1)+4,FJ$5-1,1,1)</f>
        <v>#REF!</v>
      </c>
      <c r="FK6" s="151" t="e">
        <f ca="1">OFFSET(INDIRECT("行事历!$D$3"),4*($E$5-1)+3,FK$5-1,1,1)</f>
        <v>#REF!</v>
      </c>
      <c r="FL6" s="152" t="e">
        <f ca="1">OFFSET(INDIRECT("行事历!$D$3"),4*($E$5-1)+1,FL$5-1,1,1)</f>
        <v>#REF!</v>
      </c>
      <c r="FM6" s="153" t="e">
        <f ca="1">FK6</f>
        <v>#REF!</v>
      </c>
      <c r="FN6" s="154" t="e">
        <f ca="1">OFFSET(INDIRECT("行事历!$D$3"),4*($E$5-1)+4,FN$5-1,1,1)</f>
        <v>#REF!</v>
      </c>
      <c r="FO6" s="149"/>
    </row>
    <row r="7" spans="1:171" s="140" customFormat="1" ht="23.25" customHeight="1" x14ac:dyDescent="0.25">
      <c r="A7" s="111" t="s">
        <v>322</v>
      </c>
      <c r="B7" s="54" t="s">
        <v>475</v>
      </c>
      <c r="C7" s="54" t="s">
        <v>3</v>
      </c>
      <c r="D7" s="54" t="s">
        <v>1</v>
      </c>
      <c r="E7" s="54" t="s">
        <v>476</v>
      </c>
      <c r="F7" s="54" t="s">
        <v>477</v>
      </c>
      <c r="G7" s="54" t="s">
        <v>478</v>
      </c>
      <c r="H7" s="54" t="s">
        <v>479</v>
      </c>
      <c r="I7" s="54" t="s">
        <v>480</v>
      </c>
      <c r="J7" s="54" t="s">
        <v>481</v>
      </c>
      <c r="K7" s="155" t="s">
        <v>482</v>
      </c>
      <c r="L7" s="201"/>
      <c r="M7" s="55" t="s">
        <v>483</v>
      </c>
      <c r="N7" s="55" t="s">
        <v>484</v>
      </c>
      <c r="O7" s="55" t="s">
        <v>485</v>
      </c>
      <c r="P7" s="55" t="s">
        <v>486</v>
      </c>
      <c r="Q7" s="55" t="s">
        <v>29</v>
      </c>
      <c r="R7" s="55" t="s">
        <v>30</v>
      </c>
      <c r="S7" s="55" t="s">
        <v>487</v>
      </c>
      <c r="T7" s="56" t="s">
        <v>488</v>
      </c>
      <c r="U7" s="54" t="s">
        <v>489</v>
      </c>
      <c r="V7" s="54" t="s">
        <v>490</v>
      </c>
      <c r="W7" s="54" t="s">
        <v>491</v>
      </c>
      <c r="X7" s="54" t="s">
        <v>492</v>
      </c>
      <c r="Y7" s="54" t="s">
        <v>449</v>
      </c>
      <c r="Z7" s="57" t="s">
        <v>493</v>
      </c>
      <c r="AA7" s="57" t="s">
        <v>494</v>
      </c>
      <c r="AB7" s="54" t="s">
        <v>302</v>
      </c>
      <c r="AC7" s="156" t="s">
        <v>495</v>
      </c>
      <c r="AD7" s="156" t="s">
        <v>496</v>
      </c>
      <c r="AE7" s="156" t="s">
        <v>497</v>
      </c>
      <c r="AF7" s="54" t="s">
        <v>498</v>
      </c>
      <c r="AG7" s="54" t="s">
        <v>499</v>
      </c>
      <c r="AH7" s="157" t="s">
        <v>370</v>
      </c>
      <c r="AI7" s="157" t="s">
        <v>371</v>
      </c>
      <c r="AJ7" s="157" t="s">
        <v>372</v>
      </c>
      <c r="AK7" s="157" t="s">
        <v>373</v>
      </c>
      <c r="AL7" s="157" t="s">
        <v>374</v>
      </c>
      <c r="AM7" s="158" t="s">
        <v>500</v>
      </c>
      <c r="AN7" s="159" t="s">
        <v>501</v>
      </c>
      <c r="AO7" s="48" t="s">
        <v>502</v>
      </c>
      <c r="AP7" s="49" t="s">
        <v>503</v>
      </c>
      <c r="AQ7" s="49" t="s">
        <v>504</v>
      </c>
      <c r="AR7" s="50" t="s">
        <v>505</v>
      </c>
      <c r="AS7" s="51" t="s">
        <v>506</v>
      </c>
      <c r="AT7" s="40" t="s">
        <v>507</v>
      </c>
      <c r="AU7" s="15" t="s">
        <v>329</v>
      </c>
      <c r="AV7" s="16" t="s">
        <v>227</v>
      </c>
      <c r="AW7" s="17" t="s">
        <v>506</v>
      </c>
      <c r="AX7" s="18" t="s">
        <v>507</v>
      </c>
      <c r="AY7" s="15" t="s">
        <v>329</v>
      </c>
      <c r="AZ7" s="16" t="s">
        <v>227</v>
      </c>
      <c r="BA7" s="17" t="s">
        <v>506</v>
      </c>
      <c r="BB7" s="18" t="s">
        <v>507</v>
      </c>
      <c r="BC7" s="15" t="s">
        <v>329</v>
      </c>
      <c r="BD7" s="16" t="s">
        <v>227</v>
      </c>
      <c r="BE7" s="17" t="s">
        <v>506</v>
      </c>
      <c r="BF7" s="18" t="s">
        <v>507</v>
      </c>
      <c r="BG7" s="15" t="s">
        <v>329</v>
      </c>
      <c r="BH7" s="16" t="s">
        <v>227</v>
      </c>
      <c r="BI7" s="17" t="s">
        <v>506</v>
      </c>
      <c r="BJ7" s="18" t="s">
        <v>507</v>
      </c>
      <c r="BK7" s="15" t="s">
        <v>329</v>
      </c>
      <c r="BL7" s="16" t="s">
        <v>227</v>
      </c>
      <c r="BM7" s="17" t="s">
        <v>506</v>
      </c>
      <c r="BN7" s="18" t="s">
        <v>507</v>
      </c>
      <c r="BO7" s="15" t="s">
        <v>329</v>
      </c>
      <c r="BP7" s="16" t="s">
        <v>227</v>
      </c>
      <c r="BQ7" s="17" t="s">
        <v>506</v>
      </c>
      <c r="BR7" s="18" t="s">
        <v>507</v>
      </c>
      <c r="BS7" s="15" t="s">
        <v>329</v>
      </c>
      <c r="BT7" s="16" t="s">
        <v>227</v>
      </c>
      <c r="BU7" s="17" t="s">
        <v>506</v>
      </c>
      <c r="BV7" s="18" t="s">
        <v>507</v>
      </c>
      <c r="BW7" s="15" t="s">
        <v>329</v>
      </c>
      <c r="BX7" s="16" t="s">
        <v>227</v>
      </c>
      <c r="BY7" s="17" t="s">
        <v>506</v>
      </c>
      <c r="BZ7" s="18" t="s">
        <v>507</v>
      </c>
      <c r="CA7" s="15" t="s">
        <v>329</v>
      </c>
      <c r="CB7" s="16" t="s">
        <v>227</v>
      </c>
      <c r="CC7" s="17" t="s">
        <v>506</v>
      </c>
      <c r="CD7" s="18" t="s">
        <v>507</v>
      </c>
      <c r="CE7" s="15" t="s">
        <v>329</v>
      </c>
      <c r="CF7" s="16" t="s">
        <v>227</v>
      </c>
      <c r="CG7" s="17" t="s">
        <v>506</v>
      </c>
      <c r="CH7" s="18" t="s">
        <v>507</v>
      </c>
      <c r="CI7" s="15" t="s">
        <v>329</v>
      </c>
      <c r="CJ7" s="16" t="s">
        <v>227</v>
      </c>
      <c r="CK7" s="17" t="s">
        <v>506</v>
      </c>
      <c r="CL7" s="18" t="s">
        <v>507</v>
      </c>
      <c r="CM7" s="15" t="s">
        <v>329</v>
      </c>
      <c r="CN7" s="16" t="s">
        <v>227</v>
      </c>
      <c r="CO7" s="17" t="s">
        <v>506</v>
      </c>
      <c r="CP7" s="18" t="s">
        <v>507</v>
      </c>
      <c r="CQ7" s="15" t="s">
        <v>329</v>
      </c>
      <c r="CR7" s="16" t="s">
        <v>227</v>
      </c>
      <c r="CS7" s="17" t="s">
        <v>506</v>
      </c>
      <c r="CT7" s="18" t="s">
        <v>507</v>
      </c>
      <c r="CU7" s="15" t="s">
        <v>329</v>
      </c>
      <c r="CV7" s="16" t="s">
        <v>227</v>
      </c>
      <c r="CW7" s="17" t="s">
        <v>506</v>
      </c>
      <c r="CX7" s="18" t="s">
        <v>507</v>
      </c>
      <c r="CY7" s="15" t="s">
        <v>329</v>
      </c>
      <c r="CZ7" s="16" t="s">
        <v>227</v>
      </c>
      <c r="DA7" s="17" t="s">
        <v>506</v>
      </c>
      <c r="DB7" s="18" t="s">
        <v>507</v>
      </c>
      <c r="DC7" s="15" t="s">
        <v>329</v>
      </c>
      <c r="DD7" s="16" t="s">
        <v>227</v>
      </c>
      <c r="DE7" s="17" t="s">
        <v>506</v>
      </c>
      <c r="DF7" s="18" t="s">
        <v>507</v>
      </c>
      <c r="DG7" s="15" t="s">
        <v>329</v>
      </c>
      <c r="DH7" s="16" t="s">
        <v>227</v>
      </c>
      <c r="DI7" s="17" t="s">
        <v>506</v>
      </c>
      <c r="DJ7" s="18" t="s">
        <v>507</v>
      </c>
      <c r="DK7" s="15" t="s">
        <v>329</v>
      </c>
      <c r="DL7" s="16" t="s">
        <v>227</v>
      </c>
      <c r="DM7" s="17" t="s">
        <v>506</v>
      </c>
      <c r="DN7" s="18" t="s">
        <v>507</v>
      </c>
      <c r="DO7" s="15" t="s">
        <v>329</v>
      </c>
      <c r="DP7" s="16" t="s">
        <v>227</v>
      </c>
      <c r="DQ7" s="17" t="s">
        <v>506</v>
      </c>
      <c r="DR7" s="18" t="s">
        <v>507</v>
      </c>
      <c r="DS7" s="15" t="s">
        <v>329</v>
      </c>
      <c r="DT7" s="16" t="s">
        <v>227</v>
      </c>
      <c r="DU7" s="17" t="s">
        <v>506</v>
      </c>
      <c r="DV7" s="18" t="s">
        <v>507</v>
      </c>
      <c r="DW7" s="15" t="s">
        <v>329</v>
      </c>
      <c r="DX7" s="16" t="s">
        <v>227</v>
      </c>
      <c r="DY7" s="17" t="s">
        <v>506</v>
      </c>
      <c r="DZ7" s="18" t="s">
        <v>507</v>
      </c>
      <c r="EA7" s="15" t="s">
        <v>329</v>
      </c>
      <c r="EB7" s="16" t="s">
        <v>227</v>
      </c>
      <c r="EC7" s="17" t="s">
        <v>506</v>
      </c>
      <c r="ED7" s="18" t="s">
        <v>507</v>
      </c>
      <c r="EE7" s="15" t="s">
        <v>329</v>
      </c>
      <c r="EF7" s="16" t="s">
        <v>227</v>
      </c>
      <c r="EG7" s="17" t="s">
        <v>506</v>
      </c>
      <c r="EH7" s="18" t="s">
        <v>507</v>
      </c>
      <c r="EI7" s="15" t="s">
        <v>329</v>
      </c>
      <c r="EJ7" s="16" t="s">
        <v>227</v>
      </c>
      <c r="EK7" s="17" t="s">
        <v>506</v>
      </c>
      <c r="EL7" s="18" t="s">
        <v>507</v>
      </c>
      <c r="EM7" s="15" t="s">
        <v>329</v>
      </c>
      <c r="EN7" s="16" t="s">
        <v>227</v>
      </c>
      <c r="EO7" s="17" t="s">
        <v>506</v>
      </c>
      <c r="EP7" s="18" t="s">
        <v>507</v>
      </c>
      <c r="EQ7" s="15" t="s">
        <v>329</v>
      </c>
      <c r="ER7" s="16" t="s">
        <v>227</v>
      </c>
      <c r="ES7" s="17" t="s">
        <v>506</v>
      </c>
      <c r="ET7" s="18" t="s">
        <v>507</v>
      </c>
      <c r="EU7" s="15" t="s">
        <v>329</v>
      </c>
      <c r="EV7" s="16" t="s">
        <v>227</v>
      </c>
      <c r="EW7" s="17" t="s">
        <v>506</v>
      </c>
      <c r="EX7" s="18" t="s">
        <v>507</v>
      </c>
      <c r="EY7" s="15" t="s">
        <v>329</v>
      </c>
      <c r="EZ7" s="16" t="s">
        <v>227</v>
      </c>
      <c r="FA7" s="17" t="s">
        <v>506</v>
      </c>
      <c r="FB7" s="18" t="s">
        <v>507</v>
      </c>
      <c r="FC7" s="15" t="s">
        <v>329</v>
      </c>
      <c r="FD7" s="16" t="s">
        <v>227</v>
      </c>
      <c r="FE7" s="17" t="s">
        <v>506</v>
      </c>
      <c r="FF7" s="18" t="s">
        <v>507</v>
      </c>
      <c r="FG7" s="15" t="s">
        <v>329</v>
      </c>
      <c r="FH7" s="16" t="s">
        <v>227</v>
      </c>
      <c r="FI7" s="17" t="s">
        <v>506</v>
      </c>
      <c r="FJ7" s="18" t="s">
        <v>507</v>
      </c>
      <c r="FK7" s="15" t="s">
        <v>329</v>
      </c>
      <c r="FL7" s="16" t="s">
        <v>227</v>
      </c>
      <c r="FM7" s="17" t="s">
        <v>506</v>
      </c>
      <c r="FN7" s="18" t="s">
        <v>507</v>
      </c>
      <c r="FO7" s="149"/>
    </row>
    <row r="10" spans="1:171" x14ac:dyDescent="0.25">
      <c r="D10" s="4" t="s">
        <v>14</v>
      </c>
      <c r="E10" s="4" t="s">
        <v>25</v>
      </c>
      <c r="F10" s="4" t="s">
        <v>13</v>
      </c>
      <c r="G10" s="4" t="s">
        <v>19</v>
      </c>
      <c r="H10" s="4" t="s">
        <v>20</v>
      </c>
      <c r="I10" s="4" t="s">
        <v>18</v>
      </c>
      <c r="J10" s="4" t="s">
        <v>7</v>
      </c>
      <c r="K10" s="4" t="s">
        <v>8</v>
      </c>
    </row>
    <row r="11" spans="1:171" ht="15.6" x14ac:dyDescent="0.35">
      <c r="A11" t="str">
        <f>IF(B11=D11,"OK","KK")</f>
        <v>OK</v>
      </c>
      <c r="B11" s="112" t="s">
        <v>427</v>
      </c>
      <c r="D11" s="22" t="s">
        <v>351</v>
      </c>
      <c r="F11" s="14" t="s">
        <v>224</v>
      </c>
      <c r="H11" s="3">
        <v>2</v>
      </c>
      <c r="I11">
        <v>1</v>
      </c>
    </row>
    <row r="12" spans="1:171" ht="15.6" x14ac:dyDescent="0.35">
      <c r="A12" t="str">
        <f t="shared" ref="A12:A42" si="31">IF(B12=D12,"OK","KK")</f>
        <v>OK</v>
      </c>
      <c r="B12" s="113" t="s">
        <v>428</v>
      </c>
      <c r="D12" s="19" t="s">
        <v>352</v>
      </c>
      <c r="E12" s="2"/>
      <c r="F12" s="2" t="s">
        <v>225</v>
      </c>
      <c r="G12" s="3"/>
      <c r="H12" s="3">
        <f>H11+1</f>
        <v>3</v>
      </c>
      <c r="I12" s="2">
        <v>2</v>
      </c>
      <c r="J12" s="21" t="s">
        <v>2</v>
      </c>
      <c r="K12" s="2" t="s">
        <v>223</v>
      </c>
    </row>
    <row r="13" spans="1:171" ht="15.6" x14ac:dyDescent="0.35">
      <c r="A13" t="str">
        <f t="shared" si="31"/>
        <v>OK</v>
      </c>
      <c r="B13" s="113" t="s">
        <v>1</v>
      </c>
      <c r="D13" s="19" t="s">
        <v>1</v>
      </c>
      <c r="E13" s="2"/>
      <c r="F13" s="2" t="s">
        <v>225</v>
      </c>
      <c r="G13" s="3"/>
      <c r="H13" s="3">
        <f t="shared" ref="H13:H42" si="32">H12+1</f>
        <v>4</v>
      </c>
      <c r="I13">
        <v>3</v>
      </c>
      <c r="J13" s="21" t="s">
        <v>0</v>
      </c>
      <c r="K13" s="2" t="s">
        <v>223</v>
      </c>
    </row>
    <row r="14" spans="1:171" ht="15.6" x14ac:dyDescent="0.35">
      <c r="A14" t="str">
        <f t="shared" si="31"/>
        <v>OK</v>
      </c>
      <c r="B14" s="113" t="s">
        <v>429</v>
      </c>
      <c r="D14" s="19" t="s">
        <v>353</v>
      </c>
      <c r="E14" s="2"/>
      <c r="F14" s="2" t="s">
        <v>225</v>
      </c>
      <c r="G14" s="3"/>
      <c r="H14" s="3">
        <f t="shared" si="32"/>
        <v>5</v>
      </c>
      <c r="I14" s="2">
        <v>4</v>
      </c>
      <c r="J14" s="21" t="s">
        <v>96</v>
      </c>
      <c r="K14" s="2" t="s">
        <v>223</v>
      </c>
    </row>
    <row r="15" spans="1:171" ht="15.6" x14ac:dyDescent="0.35">
      <c r="A15" t="str">
        <f t="shared" si="31"/>
        <v>OK</v>
      </c>
      <c r="B15" s="113" t="s">
        <v>430</v>
      </c>
      <c r="D15" s="19" t="s">
        <v>354</v>
      </c>
      <c r="E15" s="2"/>
      <c r="F15" s="2" t="s">
        <v>225</v>
      </c>
      <c r="G15" s="3"/>
      <c r="H15" s="3">
        <f t="shared" si="32"/>
        <v>6</v>
      </c>
      <c r="I15">
        <v>5</v>
      </c>
      <c r="J15" s="21" t="s">
        <v>293</v>
      </c>
      <c r="K15" s="2" t="s">
        <v>223</v>
      </c>
    </row>
    <row r="16" spans="1:171" ht="15.6" x14ac:dyDescent="0.35">
      <c r="A16" t="str">
        <f t="shared" si="31"/>
        <v>OK</v>
      </c>
      <c r="B16" s="113" t="s">
        <v>431</v>
      </c>
      <c r="D16" s="19" t="s">
        <v>355</v>
      </c>
      <c r="E16" s="2"/>
      <c r="F16" s="2" t="s">
        <v>225</v>
      </c>
      <c r="G16" s="3"/>
      <c r="H16" s="3">
        <f t="shared" si="32"/>
        <v>7</v>
      </c>
      <c r="I16" s="2">
        <v>6</v>
      </c>
      <c r="J16" s="21" t="s">
        <v>294</v>
      </c>
      <c r="K16" s="2" t="s">
        <v>223</v>
      </c>
    </row>
    <row r="17" spans="1:11" ht="15.6" x14ac:dyDescent="0.35">
      <c r="A17" t="str">
        <f t="shared" si="31"/>
        <v>OK</v>
      </c>
      <c r="B17" s="113" t="s">
        <v>432</v>
      </c>
      <c r="D17" s="19" t="s">
        <v>356</v>
      </c>
      <c r="E17" s="2"/>
      <c r="F17" s="2" t="s">
        <v>225</v>
      </c>
      <c r="G17" s="3"/>
      <c r="H17" s="3">
        <f t="shared" si="32"/>
        <v>8</v>
      </c>
      <c r="I17">
        <v>7</v>
      </c>
      <c r="J17" s="21" t="s">
        <v>295</v>
      </c>
      <c r="K17" s="2" t="s">
        <v>223</v>
      </c>
    </row>
    <row r="18" spans="1:11" ht="15.6" x14ac:dyDescent="0.35">
      <c r="A18" t="str">
        <f t="shared" si="31"/>
        <v>OK</v>
      </c>
      <c r="B18" s="113" t="s">
        <v>433</v>
      </c>
      <c r="D18" s="19" t="s">
        <v>357</v>
      </c>
      <c r="E18" s="2"/>
      <c r="F18" s="2" t="s">
        <v>225</v>
      </c>
      <c r="G18" s="3"/>
      <c r="H18" s="3">
        <f t="shared" si="32"/>
        <v>9</v>
      </c>
      <c r="I18" s="2">
        <v>8</v>
      </c>
      <c r="J18" s="21" t="s">
        <v>296</v>
      </c>
      <c r="K18" s="2" t="s">
        <v>223</v>
      </c>
    </row>
    <row r="19" spans="1:11" ht="15.6" x14ac:dyDescent="0.35">
      <c r="A19" t="str">
        <f t="shared" si="31"/>
        <v>OK</v>
      </c>
      <c r="B19" s="113" t="s">
        <v>434</v>
      </c>
      <c r="D19" s="19" t="s">
        <v>358</v>
      </c>
      <c r="E19" s="2"/>
      <c r="F19" s="2" t="s">
        <v>225</v>
      </c>
      <c r="G19" s="3"/>
      <c r="H19" s="3">
        <f t="shared" si="32"/>
        <v>10</v>
      </c>
      <c r="I19">
        <v>9</v>
      </c>
      <c r="J19" s="21" t="s">
        <v>298</v>
      </c>
      <c r="K19" s="2" t="s">
        <v>299</v>
      </c>
    </row>
    <row r="20" spans="1:11" ht="15.6" x14ac:dyDescent="0.35">
      <c r="A20" t="str">
        <f t="shared" si="31"/>
        <v>OK</v>
      </c>
      <c r="B20" s="114" t="s">
        <v>435</v>
      </c>
      <c r="D20" s="19" t="s">
        <v>359</v>
      </c>
      <c r="E20" s="2"/>
      <c r="F20" s="14" t="s">
        <v>224</v>
      </c>
      <c r="G20" s="3"/>
      <c r="H20" s="3">
        <f t="shared" si="32"/>
        <v>11</v>
      </c>
      <c r="I20" s="2">
        <v>10</v>
      </c>
      <c r="K20" s="21"/>
    </row>
    <row r="21" spans="1:11" ht="15.6" x14ac:dyDescent="0.35">
      <c r="A21" t="str">
        <f t="shared" si="31"/>
        <v>OK</v>
      </c>
      <c r="B21" s="115" t="s">
        <v>436</v>
      </c>
      <c r="D21" s="23" t="s">
        <v>360</v>
      </c>
      <c r="E21" s="2"/>
      <c r="F21" s="14" t="s">
        <v>224</v>
      </c>
      <c r="G21" s="3"/>
      <c r="H21" s="3">
        <f t="shared" si="32"/>
        <v>12</v>
      </c>
      <c r="I21">
        <v>11</v>
      </c>
      <c r="K21" s="21"/>
    </row>
    <row r="22" spans="1:11" ht="15.6" x14ac:dyDescent="0.35">
      <c r="A22" t="str">
        <f t="shared" si="31"/>
        <v>OK</v>
      </c>
      <c r="B22" s="116" t="s">
        <v>437</v>
      </c>
      <c r="D22" s="55" t="s">
        <v>319</v>
      </c>
      <c r="E22" s="2"/>
      <c r="F22" s="14" t="s">
        <v>224</v>
      </c>
      <c r="G22" s="3"/>
      <c r="H22" s="3">
        <f t="shared" si="32"/>
        <v>13</v>
      </c>
      <c r="I22" s="2">
        <v>12</v>
      </c>
      <c r="K22" s="21"/>
    </row>
    <row r="23" spans="1:11" ht="15.6" x14ac:dyDescent="0.35">
      <c r="A23" t="str">
        <f t="shared" si="31"/>
        <v>OK</v>
      </c>
      <c r="B23" s="116" t="s">
        <v>438</v>
      </c>
      <c r="D23" s="55" t="s">
        <v>304</v>
      </c>
      <c r="E23" s="2"/>
      <c r="F23" s="14" t="s">
        <v>224</v>
      </c>
      <c r="G23" s="3"/>
      <c r="H23" s="3">
        <f t="shared" si="32"/>
        <v>14</v>
      </c>
      <c r="I23">
        <v>13</v>
      </c>
      <c r="K23" s="21"/>
    </row>
    <row r="24" spans="1:11" ht="15.6" x14ac:dyDescent="0.35">
      <c r="A24" t="str">
        <f t="shared" si="31"/>
        <v>OK</v>
      </c>
      <c r="B24" s="117" t="s">
        <v>439</v>
      </c>
      <c r="D24" s="24" t="s">
        <v>361</v>
      </c>
      <c r="E24" s="2"/>
      <c r="F24" s="2" t="s">
        <v>225</v>
      </c>
      <c r="G24" s="3"/>
      <c r="H24" s="3">
        <f t="shared" si="32"/>
        <v>15</v>
      </c>
      <c r="I24" s="2">
        <v>14</v>
      </c>
      <c r="J24" s="21" t="s">
        <v>297</v>
      </c>
      <c r="K24" s="2" t="s">
        <v>223</v>
      </c>
    </row>
    <row r="25" spans="1:11" ht="15.6" x14ac:dyDescent="0.35">
      <c r="A25" t="str">
        <f t="shared" si="31"/>
        <v>OK</v>
      </c>
      <c r="B25" s="117" t="s">
        <v>440</v>
      </c>
      <c r="D25" s="24" t="s">
        <v>362</v>
      </c>
      <c r="E25" s="2"/>
      <c r="F25" s="2" t="s">
        <v>225</v>
      </c>
      <c r="G25" s="3"/>
      <c r="H25" s="3">
        <f t="shared" si="32"/>
        <v>16</v>
      </c>
      <c r="I25">
        <v>15</v>
      </c>
      <c r="J25" s="13" t="s">
        <v>5</v>
      </c>
      <c r="K25" s="2" t="s">
        <v>223</v>
      </c>
    </row>
    <row r="26" spans="1:11" ht="15.6" x14ac:dyDescent="0.35">
      <c r="A26" t="str">
        <f t="shared" si="31"/>
        <v>OK</v>
      </c>
      <c r="B26" s="117" t="s">
        <v>441</v>
      </c>
      <c r="D26" s="24" t="s">
        <v>320</v>
      </c>
      <c r="E26" s="2"/>
      <c r="F26" s="2" t="s">
        <v>225</v>
      </c>
      <c r="G26" s="3"/>
      <c r="H26" s="3">
        <f t="shared" si="32"/>
        <v>17</v>
      </c>
      <c r="I26" s="2">
        <v>16</v>
      </c>
      <c r="J26" s="13" t="s">
        <v>95</v>
      </c>
      <c r="K26" s="2" t="s">
        <v>223</v>
      </c>
    </row>
    <row r="27" spans="1:11" ht="15.6" x14ac:dyDescent="0.35">
      <c r="A27" t="str">
        <f t="shared" si="31"/>
        <v>OK</v>
      </c>
      <c r="B27" s="117" t="s">
        <v>442</v>
      </c>
      <c r="D27" s="24" t="s">
        <v>321</v>
      </c>
      <c r="F27" s="2" t="s">
        <v>225</v>
      </c>
      <c r="H27" s="3">
        <f t="shared" si="32"/>
        <v>18</v>
      </c>
      <c r="I27">
        <v>17</v>
      </c>
      <c r="J27" s="13" t="s">
        <v>300</v>
      </c>
      <c r="K27" s="2" t="s">
        <v>223</v>
      </c>
    </row>
    <row r="28" spans="1:11" ht="15.6" x14ac:dyDescent="0.35">
      <c r="A28" t="str">
        <f t="shared" si="31"/>
        <v>OK</v>
      </c>
      <c r="B28" s="116" t="s">
        <v>443</v>
      </c>
      <c r="D28" s="55" t="s">
        <v>346</v>
      </c>
      <c r="F28" s="14" t="s">
        <v>224</v>
      </c>
      <c r="H28" s="3">
        <f t="shared" si="32"/>
        <v>19</v>
      </c>
      <c r="I28" s="2">
        <v>18</v>
      </c>
    </row>
    <row r="29" spans="1:11" ht="15.6" x14ac:dyDescent="0.35">
      <c r="A29" t="str">
        <f t="shared" si="31"/>
        <v>OK</v>
      </c>
      <c r="B29" s="118" t="s">
        <v>444</v>
      </c>
      <c r="D29" s="56" t="s">
        <v>313</v>
      </c>
      <c r="F29" s="14" t="s">
        <v>224</v>
      </c>
      <c r="H29" s="3">
        <f t="shared" si="32"/>
        <v>20</v>
      </c>
      <c r="I29">
        <v>19</v>
      </c>
    </row>
    <row r="30" spans="1:11" ht="15.6" x14ac:dyDescent="0.35">
      <c r="A30" t="str">
        <f t="shared" si="31"/>
        <v>OK</v>
      </c>
      <c r="B30" s="119" t="s">
        <v>445</v>
      </c>
      <c r="D30" s="20" t="s">
        <v>363</v>
      </c>
      <c r="E30" s="2"/>
      <c r="F30" s="14" t="s">
        <v>224</v>
      </c>
      <c r="G30" s="3"/>
      <c r="H30" s="3">
        <f t="shared" si="32"/>
        <v>21</v>
      </c>
      <c r="I30" s="2">
        <v>20</v>
      </c>
    </row>
    <row r="31" spans="1:11" ht="15.6" x14ac:dyDescent="0.35">
      <c r="A31" t="str">
        <f t="shared" si="31"/>
        <v>OK</v>
      </c>
      <c r="B31" s="113" t="s">
        <v>446</v>
      </c>
      <c r="D31" s="19" t="s">
        <v>364</v>
      </c>
      <c r="E31" s="2"/>
      <c r="F31" s="14" t="s">
        <v>224</v>
      </c>
      <c r="G31" s="3"/>
      <c r="H31" s="3">
        <f t="shared" si="32"/>
        <v>22</v>
      </c>
      <c r="I31">
        <v>21</v>
      </c>
    </row>
    <row r="32" spans="1:11" ht="15.6" x14ac:dyDescent="0.35">
      <c r="A32" t="str">
        <f t="shared" si="31"/>
        <v>OK</v>
      </c>
      <c r="B32" s="113" t="s">
        <v>447</v>
      </c>
      <c r="D32" s="19" t="s">
        <v>365</v>
      </c>
      <c r="E32" s="2"/>
      <c r="F32" s="14" t="s">
        <v>224</v>
      </c>
      <c r="G32" s="3"/>
      <c r="H32" s="3">
        <f t="shared" si="32"/>
        <v>23</v>
      </c>
      <c r="I32" s="2">
        <v>22</v>
      </c>
    </row>
    <row r="33" spans="1:11" ht="15.6" x14ac:dyDescent="0.35">
      <c r="A33" t="str">
        <f t="shared" si="31"/>
        <v>OK</v>
      </c>
      <c r="B33" s="113" t="s">
        <v>448</v>
      </c>
      <c r="D33" s="19" t="s">
        <v>366</v>
      </c>
      <c r="E33" s="2"/>
      <c r="F33" s="14" t="s">
        <v>224</v>
      </c>
      <c r="G33" s="3"/>
      <c r="H33" s="3">
        <f t="shared" si="32"/>
        <v>24</v>
      </c>
      <c r="I33">
        <v>23</v>
      </c>
    </row>
    <row r="34" spans="1:11" ht="26.4" x14ac:dyDescent="0.35">
      <c r="A34" t="str">
        <f t="shared" si="31"/>
        <v>OK</v>
      </c>
      <c r="B34" s="113" t="s">
        <v>449</v>
      </c>
      <c r="D34" s="113" t="s">
        <v>449</v>
      </c>
      <c r="E34" s="2"/>
      <c r="F34" s="14" t="s">
        <v>224</v>
      </c>
      <c r="G34" s="3"/>
      <c r="H34" s="3">
        <f t="shared" si="32"/>
        <v>25</v>
      </c>
      <c r="I34" s="2">
        <v>24</v>
      </c>
    </row>
    <row r="35" spans="1:11" ht="26.4" x14ac:dyDescent="0.35">
      <c r="A35" t="str">
        <f t="shared" si="31"/>
        <v>OK</v>
      </c>
      <c r="B35" s="120" t="s">
        <v>450</v>
      </c>
      <c r="D35" s="57" t="s">
        <v>347</v>
      </c>
      <c r="E35" s="2"/>
      <c r="F35" s="14" t="s">
        <v>224</v>
      </c>
      <c r="G35" s="3"/>
      <c r="H35" s="3">
        <f t="shared" si="32"/>
        <v>26</v>
      </c>
      <c r="I35">
        <v>25</v>
      </c>
    </row>
    <row r="36" spans="1:11" ht="15.6" x14ac:dyDescent="0.35">
      <c r="A36" t="str">
        <f t="shared" si="31"/>
        <v>OK</v>
      </c>
      <c r="B36" s="120" t="s">
        <v>451</v>
      </c>
      <c r="D36" s="57" t="s">
        <v>348</v>
      </c>
      <c r="E36" s="2"/>
      <c r="F36" s="14" t="s">
        <v>224</v>
      </c>
      <c r="G36" s="3"/>
      <c r="H36" s="3">
        <f t="shared" si="32"/>
        <v>27</v>
      </c>
      <c r="I36" s="2">
        <v>26</v>
      </c>
    </row>
    <row r="37" spans="1:11" ht="15.6" x14ac:dyDescent="0.35">
      <c r="A37" t="str">
        <f t="shared" si="31"/>
        <v>OK</v>
      </c>
      <c r="B37" s="113" t="s">
        <v>452</v>
      </c>
      <c r="D37" s="19" t="s">
        <v>367</v>
      </c>
      <c r="E37" s="2"/>
      <c r="F37" s="14" t="s">
        <v>224</v>
      </c>
      <c r="G37" s="3"/>
      <c r="H37" s="3">
        <f t="shared" si="32"/>
        <v>28</v>
      </c>
      <c r="I37">
        <v>27</v>
      </c>
    </row>
    <row r="38" spans="1:11" ht="15.6" x14ac:dyDescent="0.35">
      <c r="A38" t="str">
        <f t="shared" si="31"/>
        <v>OK</v>
      </c>
      <c r="B38" s="121" t="s">
        <v>453</v>
      </c>
      <c r="D38" s="25" t="s">
        <v>368</v>
      </c>
      <c r="E38" s="2"/>
      <c r="F38" s="14" t="s">
        <v>224</v>
      </c>
      <c r="G38" s="3"/>
      <c r="H38" s="3">
        <f t="shared" si="32"/>
        <v>29</v>
      </c>
      <c r="I38" s="2">
        <v>28</v>
      </c>
      <c r="J38" s="21"/>
    </row>
    <row r="39" spans="1:11" ht="15.6" x14ac:dyDescent="0.35">
      <c r="A39" t="str">
        <f t="shared" si="31"/>
        <v>OK</v>
      </c>
      <c r="B39" s="121" t="s">
        <v>454</v>
      </c>
      <c r="D39" s="25" t="s">
        <v>369</v>
      </c>
      <c r="E39" s="2"/>
      <c r="F39" s="14" t="s">
        <v>224</v>
      </c>
      <c r="G39" s="3"/>
      <c r="H39" s="3">
        <f t="shared" si="32"/>
        <v>30</v>
      </c>
      <c r="I39">
        <v>29</v>
      </c>
      <c r="J39" s="21"/>
    </row>
    <row r="40" spans="1:11" ht="26.4" x14ac:dyDescent="0.35">
      <c r="A40" t="str">
        <f t="shared" si="31"/>
        <v>OK</v>
      </c>
      <c r="B40" s="121" t="s">
        <v>455</v>
      </c>
      <c r="D40" s="121" t="s">
        <v>455</v>
      </c>
      <c r="E40" s="2"/>
      <c r="F40" s="14" t="s">
        <v>224</v>
      </c>
      <c r="G40" s="3"/>
      <c r="H40" s="3">
        <f t="shared" si="32"/>
        <v>31</v>
      </c>
      <c r="I40" s="2">
        <v>30</v>
      </c>
      <c r="J40" s="21"/>
    </row>
    <row r="41" spans="1:11" ht="26.4" x14ac:dyDescent="0.35">
      <c r="A41" t="str">
        <f t="shared" si="31"/>
        <v>OK</v>
      </c>
      <c r="B41" s="112" t="s">
        <v>456</v>
      </c>
      <c r="D41" s="54" t="s">
        <v>349</v>
      </c>
      <c r="E41" s="2"/>
      <c r="F41" s="2" t="s">
        <v>225</v>
      </c>
      <c r="G41" s="3"/>
      <c r="H41" s="3">
        <f t="shared" si="32"/>
        <v>32</v>
      </c>
      <c r="I41">
        <v>31</v>
      </c>
      <c r="J41" s="21" t="s">
        <v>97</v>
      </c>
      <c r="K41" s="2" t="s">
        <v>299</v>
      </c>
    </row>
    <row r="42" spans="1:11" ht="26.4" x14ac:dyDescent="0.35">
      <c r="A42" t="str">
        <f t="shared" si="31"/>
        <v>OK</v>
      </c>
      <c r="B42" s="112" t="s">
        <v>457</v>
      </c>
      <c r="D42" s="54" t="s">
        <v>350</v>
      </c>
      <c r="E42" s="2"/>
      <c r="F42" s="2" t="s">
        <v>225</v>
      </c>
      <c r="G42" s="3"/>
      <c r="H42" s="3">
        <f t="shared" si="32"/>
        <v>33</v>
      </c>
      <c r="I42" s="2">
        <v>32</v>
      </c>
      <c r="J42" s="21" t="s">
        <v>98</v>
      </c>
      <c r="K42" s="2" t="s">
        <v>299</v>
      </c>
    </row>
    <row r="43" spans="1:11" ht="26.4" x14ac:dyDescent="0.35">
      <c r="B43" s="122" t="s">
        <v>370</v>
      </c>
      <c r="I43" s="2"/>
      <c r="J43" s="2"/>
      <c r="K43" s="2"/>
    </row>
    <row r="44" spans="1:11" ht="26.4" x14ac:dyDescent="0.25">
      <c r="B44" s="122" t="s">
        <v>371</v>
      </c>
    </row>
    <row r="45" spans="1:11" ht="26.4" x14ac:dyDescent="0.25">
      <c r="B45" s="122" t="s">
        <v>372</v>
      </c>
    </row>
    <row r="46" spans="1:11" ht="26.4" x14ac:dyDescent="0.25">
      <c r="B46" s="122" t="s">
        <v>373</v>
      </c>
    </row>
    <row r="47" spans="1:11" ht="26.4" x14ac:dyDescent="0.25">
      <c r="B47" s="122" t="s">
        <v>374</v>
      </c>
    </row>
    <row r="48" spans="1:11" x14ac:dyDescent="0.25">
      <c r="B48" s="123" t="s">
        <v>458</v>
      </c>
    </row>
    <row r="49" spans="2:2" x14ac:dyDescent="0.25">
      <c r="B49" s="124" t="s">
        <v>459</v>
      </c>
    </row>
    <row r="50" spans="2:2" x14ac:dyDescent="0.25">
      <c r="B50" s="91" t="s">
        <v>460</v>
      </c>
    </row>
    <row r="51" spans="2:2" x14ac:dyDescent="0.25">
      <c r="B51" s="61" t="s">
        <v>461</v>
      </c>
    </row>
    <row r="52" spans="2:2" x14ac:dyDescent="0.25">
      <c r="B52" s="61" t="s">
        <v>462</v>
      </c>
    </row>
    <row r="53" spans="2:2" x14ac:dyDescent="0.25">
      <c r="B53" s="62" t="s">
        <v>227</v>
      </c>
    </row>
    <row r="54" spans="2:2" x14ac:dyDescent="0.25">
      <c r="B54" s="63" t="s">
        <v>463</v>
      </c>
    </row>
    <row r="55" spans="2:2" x14ac:dyDescent="0.25">
      <c r="B55" s="64" t="s">
        <v>464</v>
      </c>
    </row>
    <row r="56" spans="2:2" x14ac:dyDescent="0.25">
      <c r="B56" s="15" t="s">
        <v>228</v>
      </c>
    </row>
    <row r="57" spans="2:2" x14ac:dyDescent="0.25">
      <c r="B57" s="16" t="s">
        <v>229</v>
      </c>
    </row>
    <row r="58" spans="2:2" x14ac:dyDescent="0.25">
      <c r="B58" s="17" t="s">
        <v>31</v>
      </c>
    </row>
    <row r="59" spans="2:2" x14ac:dyDescent="0.25">
      <c r="B59" s="18" t="s">
        <v>32</v>
      </c>
    </row>
    <row r="60" spans="2:2" x14ac:dyDescent="0.25">
      <c r="B60" s="15" t="s">
        <v>230</v>
      </c>
    </row>
    <row r="61" spans="2:2" x14ac:dyDescent="0.25">
      <c r="B61" s="16" t="s">
        <v>231</v>
      </c>
    </row>
    <row r="62" spans="2:2" x14ac:dyDescent="0.25">
      <c r="B62" s="17" t="s">
        <v>33</v>
      </c>
    </row>
    <row r="63" spans="2:2" x14ac:dyDescent="0.25">
      <c r="B63" s="18" t="s">
        <v>34</v>
      </c>
    </row>
    <row r="64" spans="2:2" x14ac:dyDescent="0.25">
      <c r="B64" s="15" t="s">
        <v>232</v>
      </c>
    </row>
    <row r="65" spans="2:2" x14ac:dyDescent="0.25">
      <c r="B65" s="16" t="s">
        <v>233</v>
      </c>
    </row>
    <row r="66" spans="2:2" x14ac:dyDescent="0.25">
      <c r="B66" s="17" t="s">
        <v>35</v>
      </c>
    </row>
    <row r="67" spans="2:2" x14ac:dyDescent="0.25">
      <c r="B67" s="18" t="s">
        <v>36</v>
      </c>
    </row>
    <row r="68" spans="2:2" x14ac:dyDescent="0.25">
      <c r="B68" s="15" t="s">
        <v>234</v>
      </c>
    </row>
    <row r="69" spans="2:2" x14ac:dyDescent="0.25">
      <c r="B69" s="16" t="s">
        <v>235</v>
      </c>
    </row>
    <row r="70" spans="2:2" x14ac:dyDescent="0.25">
      <c r="B70" s="17" t="s">
        <v>37</v>
      </c>
    </row>
    <row r="71" spans="2:2" x14ac:dyDescent="0.25">
      <c r="B71" s="18" t="s">
        <v>38</v>
      </c>
    </row>
    <row r="72" spans="2:2" x14ac:dyDescent="0.25">
      <c r="B72" s="15" t="s">
        <v>236</v>
      </c>
    </row>
    <row r="73" spans="2:2" x14ac:dyDescent="0.25">
      <c r="B73" s="16" t="s">
        <v>237</v>
      </c>
    </row>
    <row r="74" spans="2:2" x14ac:dyDescent="0.25">
      <c r="B74" s="17" t="s">
        <v>39</v>
      </c>
    </row>
    <row r="75" spans="2:2" x14ac:dyDescent="0.25">
      <c r="B75" s="18" t="s">
        <v>40</v>
      </c>
    </row>
    <row r="76" spans="2:2" x14ac:dyDescent="0.25">
      <c r="B76" s="15" t="s">
        <v>238</v>
      </c>
    </row>
    <row r="77" spans="2:2" x14ac:dyDescent="0.25">
      <c r="B77" s="16" t="s">
        <v>239</v>
      </c>
    </row>
    <row r="78" spans="2:2" x14ac:dyDescent="0.25">
      <c r="B78" s="17" t="s">
        <v>41</v>
      </c>
    </row>
    <row r="79" spans="2:2" x14ac:dyDescent="0.25">
      <c r="B79" s="18" t="s">
        <v>42</v>
      </c>
    </row>
    <row r="80" spans="2:2" x14ac:dyDescent="0.25">
      <c r="B80" s="15" t="s">
        <v>240</v>
      </c>
    </row>
    <row r="81" spans="2:2" x14ac:dyDescent="0.25">
      <c r="B81" s="16" t="s">
        <v>241</v>
      </c>
    </row>
    <row r="82" spans="2:2" x14ac:dyDescent="0.25">
      <c r="B82" s="17" t="s">
        <v>43</v>
      </c>
    </row>
    <row r="83" spans="2:2" x14ac:dyDescent="0.25">
      <c r="B83" s="18" t="s">
        <v>44</v>
      </c>
    </row>
    <row r="84" spans="2:2" x14ac:dyDescent="0.25">
      <c r="B84" s="15" t="s">
        <v>242</v>
      </c>
    </row>
    <row r="85" spans="2:2" x14ac:dyDescent="0.25">
      <c r="B85" s="16" t="s">
        <v>243</v>
      </c>
    </row>
    <row r="86" spans="2:2" x14ac:dyDescent="0.25">
      <c r="B86" s="17" t="s">
        <v>45</v>
      </c>
    </row>
    <row r="87" spans="2:2" x14ac:dyDescent="0.25">
      <c r="B87" s="18" t="s">
        <v>46</v>
      </c>
    </row>
    <row r="88" spans="2:2" x14ac:dyDescent="0.25">
      <c r="B88" s="15" t="s">
        <v>244</v>
      </c>
    </row>
    <row r="89" spans="2:2" x14ac:dyDescent="0.25">
      <c r="B89" s="16" t="s">
        <v>245</v>
      </c>
    </row>
    <row r="90" spans="2:2" x14ac:dyDescent="0.25">
      <c r="B90" s="17" t="s">
        <v>47</v>
      </c>
    </row>
    <row r="91" spans="2:2" x14ac:dyDescent="0.25">
      <c r="B91" s="18" t="s">
        <v>48</v>
      </c>
    </row>
    <row r="92" spans="2:2" x14ac:dyDescent="0.25">
      <c r="B92" s="15" t="s">
        <v>246</v>
      </c>
    </row>
    <row r="93" spans="2:2" x14ac:dyDescent="0.25">
      <c r="B93" s="16" t="s">
        <v>247</v>
      </c>
    </row>
    <row r="94" spans="2:2" x14ac:dyDescent="0.25">
      <c r="B94" s="17" t="s">
        <v>49</v>
      </c>
    </row>
    <row r="95" spans="2:2" x14ac:dyDescent="0.25">
      <c r="B95" s="18" t="s">
        <v>50</v>
      </c>
    </row>
    <row r="96" spans="2:2" x14ac:dyDescent="0.25">
      <c r="B96" s="15" t="s">
        <v>248</v>
      </c>
    </row>
    <row r="97" spans="2:2" x14ac:dyDescent="0.25">
      <c r="B97" s="16" t="s">
        <v>249</v>
      </c>
    </row>
    <row r="98" spans="2:2" x14ac:dyDescent="0.25">
      <c r="B98" s="17" t="s">
        <v>51</v>
      </c>
    </row>
    <row r="99" spans="2:2" x14ac:dyDescent="0.25">
      <c r="B99" s="18" t="s">
        <v>52</v>
      </c>
    </row>
    <row r="100" spans="2:2" x14ac:dyDescent="0.25">
      <c r="B100" s="15" t="s">
        <v>250</v>
      </c>
    </row>
    <row r="101" spans="2:2" x14ac:dyDescent="0.25">
      <c r="B101" s="16" t="s">
        <v>251</v>
      </c>
    </row>
    <row r="102" spans="2:2" x14ac:dyDescent="0.25">
      <c r="B102" s="17" t="s">
        <v>53</v>
      </c>
    </row>
    <row r="103" spans="2:2" x14ac:dyDescent="0.25">
      <c r="B103" s="18" t="s">
        <v>54</v>
      </c>
    </row>
    <row r="104" spans="2:2" x14ac:dyDescent="0.25">
      <c r="B104" s="15" t="s">
        <v>252</v>
      </c>
    </row>
    <row r="105" spans="2:2" x14ac:dyDescent="0.25">
      <c r="B105" s="16" t="s">
        <v>253</v>
      </c>
    </row>
    <row r="106" spans="2:2" x14ac:dyDescent="0.25">
      <c r="B106" s="17" t="s">
        <v>55</v>
      </c>
    </row>
    <row r="107" spans="2:2" x14ac:dyDescent="0.25">
      <c r="B107" s="18" t="s">
        <v>56</v>
      </c>
    </row>
    <row r="108" spans="2:2" x14ac:dyDescent="0.25">
      <c r="B108" s="15" t="s">
        <v>254</v>
      </c>
    </row>
    <row r="109" spans="2:2" x14ac:dyDescent="0.25">
      <c r="B109" s="16" t="s">
        <v>255</v>
      </c>
    </row>
    <row r="110" spans="2:2" x14ac:dyDescent="0.25">
      <c r="B110" s="17" t="s">
        <v>57</v>
      </c>
    </row>
    <row r="111" spans="2:2" x14ac:dyDescent="0.25">
      <c r="B111" s="18" t="s">
        <v>58</v>
      </c>
    </row>
    <row r="112" spans="2:2" x14ac:dyDescent="0.25">
      <c r="B112" s="15" t="s">
        <v>256</v>
      </c>
    </row>
    <row r="113" spans="2:2" x14ac:dyDescent="0.25">
      <c r="B113" s="16" t="s">
        <v>257</v>
      </c>
    </row>
    <row r="114" spans="2:2" x14ac:dyDescent="0.25">
      <c r="B114" s="17" t="s">
        <v>59</v>
      </c>
    </row>
    <row r="115" spans="2:2" x14ac:dyDescent="0.25">
      <c r="B115" s="18" t="s">
        <v>60</v>
      </c>
    </row>
    <row r="116" spans="2:2" x14ac:dyDescent="0.25">
      <c r="B116" s="15" t="s">
        <v>258</v>
      </c>
    </row>
    <row r="117" spans="2:2" x14ac:dyDescent="0.25">
      <c r="B117" s="16" t="s">
        <v>259</v>
      </c>
    </row>
    <row r="118" spans="2:2" x14ac:dyDescent="0.25">
      <c r="B118" s="17" t="s">
        <v>61</v>
      </c>
    </row>
    <row r="119" spans="2:2" x14ac:dyDescent="0.25">
      <c r="B119" s="18" t="s">
        <v>62</v>
      </c>
    </row>
    <row r="120" spans="2:2" x14ac:dyDescent="0.25">
      <c r="B120" s="15" t="s">
        <v>260</v>
      </c>
    </row>
    <row r="121" spans="2:2" x14ac:dyDescent="0.25">
      <c r="B121" s="16" t="s">
        <v>261</v>
      </c>
    </row>
    <row r="122" spans="2:2" x14ac:dyDescent="0.25">
      <c r="B122" s="17" t="s">
        <v>63</v>
      </c>
    </row>
    <row r="123" spans="2:2" x14ac:dyDescent="0.25">
      <c r="B123" s="18" t="s">
        <v>64</v>
      </c>
    </row>
    <row r="124" spans="2:2" x14ac:dyDescent="0.25">
      <c r="B124" s="15" t="s">
        <v>262</v>
      </c>
    </row>
    <row r="125" spans="2:2" x14ac:dyDescent="0.25">
      <c r="B125" s="16" t="s">
        <v>263</v>
      </c>
    </row>
    <row r="126" spans="2:2" x14ac:dyDescent="0.25">
      <c r="B126" s="17" t="s">
        <v>65</v>
      </c>
    </row>
    <row r="127" spans="2:2" x14ac:dyDescent="0.25">
      <c r="B127" s="18" t="s">
        <v>66</v>
      </c>
    </row>
    <row r="128" spans="2:2" x14ac:dyDescent="0.25">
      <c r="B128" s="15" t="s">
        <v>264</v>
      </c>
    </row>
    <row r="129" spans="2:2" x14ac:dyDescent="0.25">
      <c r="B129" s="16" t="s">
        <v>265</v>
      </c>
    </row>
    <row r="130" spans="2:2" x14ac:dyDescent="0.25">
      <c r="B130" s="17" t="s">
        <v>67</v>
      </c>
    </row>
    <row r="131" spans="2:2" x14ac:dyDescent="0.25">
      <c r="B131" s="18" t="s">
        <v>68</v>
      </c>
    </row>
    <row r="132" spans="2:2" x14ac:dyDescent="0.25">
      <c r="B132" s="15" t="s">
        <v>266</v>
      </c>
    </row>
    <row r="133" spans="2:2" x14ac:dyDescent="0.25">
      <c r="B133" s="16" t="s">
        <v>267</v>
      </c>
    </row>
    <row r="134" spans="2:2" x14ac:dyDescent="0.25">
      <c r="B134" s="17" t="s">
        <v>69</v>
      </c>
    </row>
    <row r="135" spans="2:2" x14ac:dyDescent="0.25">
      <c r="B135" s="18" t="s">
        <v>70</v>
      </c>
    </row>
    <row r="136" spans="2:2" x14ac:dyDescent="0.25">
      <c r="B136" s="15" t="s">
        <v>268</v>
      </c>
    </row>
    <row r="137" spans="2:2" x14ac:dyDescent="0.25">
      <c r="B137" s="16" t="s">
        <v>269</v>
      </c>
    </row>
    <row r="138" spans="2:2" x14ac:dyDescent="0.25">
      <c r="B138" s="17" t="s">
        <v>71</v>
      </c>
    </row>
    <row r="139" spans="2:2" x14ac:dyDescent="0.25">
      <c r="B139" s="18" t="s">
        <v>72</v>
      </c>
    </row>
    <row r="140" spans="2:2" x14ac:dyDescent="0.25">
      <c r="B140" s="15" t="s">
        <v>270</v>
      </c>
    </row>
    <row r="141" spans="2:2" x14ac:dyDescent="0.25">
      <c r="B141" s="16" t="s">
        <v>271</v>
      </c>
    </row>
    <row r="142" spans="2:2" x14ac:dyDescent="0.25">
      <c r="B142" s="17" t="s">
        <v>73</v>
      </c>
    </row>
    <row r="143" spans="2:2" x14ac:dyDescent="0.25">
      <c r="B143" s="18" t="s">
        <v>74</v>
      </c>
    </row>
    <row r="144" spans="2:2" x14ac:dyDescent="0.25">
      <c r="B144" s="15" t="s">
        <v>272</v>
      </c>
    </row>
    <row r="145" spans="2:2" x14ac:dyDescent="0.25">
      <c r="B145" s="16" t="s">
        <v>273</v>
      </c>
    </row>
    <row r="146" spans="2:2" x14ac:dyDescent="0.25">
      <c r="B146" s="17" t="s">
        <v>75</v>
      </c>
    </row>
    <row r="147" spans="2:2" x14ac:dyDescent="0.25">
      <c r="B147" s="18" t="s">
        <v>76</v>
      </c>
    </row>
    <row r="148" spans="2:2" x14ac:dyDescent="0.25">
      <c r="B148" s="15" t="s">
        <v>274</v>
      </c>
    </row>
    <row r="149" spans="2:2" x14ac:dyDescent="0.25">
      <c r="B149" s="16" t="s">
        <v>275</v>
      </c>
    </row>
    <row r="150" spans="2:2" x14ac:dyDescent="0.25">
      <c r="B150" s="17" t="s">
        <v>77</v>
      </c>
    </row>
    <row r="151" spans="2:2" x14ac:dyDescent="0.25">
      <c r="B151" s="18" t="s">
        <v>78</v>
      </c>
    </row>
    <row r="152" spans="2:2" x14ac:dyDescent="0.25">
      <c r="B152" s="15" t="s">
        <v>276</v>
      </c>
    </row>
    <row r="153" spans="2:2" x14ac:dyDescent="0.25">
      <c r="B153" s="16" t="s">
        <v>277</v>
      </c>
    </row>
    <row r="154" spans="2:2" x14ac:dyDescent="0.25">
      <c r="B154" s="17" t="s">
        <v>79</v>
      </c>
    </row>
    <row r="155" spans="2:2" x14ac:dyDescent="0.25">
      <c r="B155" s="18" t="s">
        <v>80</v>
      </c>
    </row>
    <row r="156" spans="2:2" x14ac:dyDescent="0.25">
      <c r="B156" s="15" t="s">
        <v>278</v>
      </c>
    </row>
    <row r="157" spans="2:2" x14ac:dyDescent="0.25">
      <c r="B157" s="16" t="s">
        <v>279</v>
      </c>
    </row>
    <row r="158" spans="2:2" x14ac:dyDescent="0.25">
      <c r="B158" s="17" t="s">
        <v>81</v>
      </c>
    </row>
    <row r="159" spans="2:2" x14ac:dyDescent="0.25">
      <c r="B159" s="18" t="s">
        <v>82</v>
      </c>
    </row>
    <row r="160" spans="2:2" x14ac:dyDescent="0.25">
      <c r="B160" s="15" t="s">
        <v>280</v>
      </c>
    </row>
    <row r="161" spans="2:2" x14ac:dyDescent="0.25">
      <c r="B161" s="16" t="s">
        <v>281</v>
      </c>
    </row>
    <row r="162" spans="2:2" x14ac:dyDescent="0.25">
      <c r="B162" s="17" t="s">
        <v>83</v>
      </c>
    </row>
    <row r="163" spans="2:2" x14ac:dyDescent="0.25">
      <c r="B163" s="18" t="s">
        <v>84</v>
      </c>
    </row>
    <row r="164" spans="2:2" x14ac:dyDescent="0.25">
      <c r="B164" s="15" t="s">
        <v>282</v>
      </c>
    </row>
    <row r="165" spans="2:2" x14ac:dyDescent="0.25">
      <c r="B165" s="16" t="s">
        <v>283</v>
      </c>
    </row>
    <row r="166" spans="2:2" x14ac:dyDescent="0.25">
      <c r="B166" s="17" t="s">
        <v>85</v>
      </c>
    </row>
    <row r="167" spans="2:2" x14ac:dyDescent="0.25">
      <c r="B167" s="18" t="s">
        <v>86</v>
      </c>
    </row>
    <row r="168" spans="2:2" x14ac:dyDescent="0.25">
      <c r="B168" s="15" t="s">
        <v>284</v>
      </c>
    </row>
    <row r="169" spans="2:2" x14ac:dyDescent="0.25">
      <c r="B169" s="16" t="s">
        <v>285</v>
      </c>
    </row>
    <row r="170" spans="2:2" x14ac:dyDescent="0.25">
      <c r="B170" s="17" t="s">
        <v>87</v>
      </c>
    </row>
    <row r="171" spans="2:2" x14ac:dyDescent="0.25">
      <c r="B171" s="18" t="s">
        <v>88</v>
      </c>
    </row>
    <row r="172" spans="2:2" x14ac:dyDescent="0.25">
      <c r="B172" s="15" t="s">
        <v>286</v>
      </c>
    </row>
    <row r="173" spans="2:2" x14ac:dyDescent="0.25">
      <c r="B173" s="16" t="s">
        <v>287</v>
      </c>
    </row>
    <row r="174" spans="2:2" x14ac:dyDescent="0.25">
      <c r="B174" s="17" t="s">
        <v>89</v>
      </c>
    </row>
    <row r="175" spans="2:2" x14ac:dyDescent="0.25">
      <c r="B175" s="18" t="s">
        <v>90</v>
      </c>
    </row>
    <row r="176" spans="2:2" x14ac:dyDescent="0.25">
      <c r="B176" s="15" t="s">
        <v>288</v>
      </c>
    </row>
    <row r="177" spans="2:2" x14ac:dyDescent="0.25">
      <c r="B177" s="16" t="s">
        <v>289</v>
      </c>
    </row>
    <row r="178" spans="2:2" x14ac:dyDescent="0.25">
      <c r="B178" s="17" t="s">
        <v>91</v>
      </c>
    </row>
    <row r="179" spans="2:2" x14ac:dyDescent="0.25">
      <c r="B179" s="18" t="s">
        <v>92</v>
      </c>
    </row>
  </sheetData>
  <mergeCells count="7">
    <mergeCell ref="AM6:AT6"/>
    <mergeCell ref="C5:D5"/>
    <mergeCell ref="C6:K6"/>
    <mergeCell ref="L6:L7"/>
    <mergeCell ref="M6:T6"/>
    <mergeCell ref="U6:AB6"/>
    <mergeCell ref="AC6:AL6"/>
  </mergeCells>
  <phoneticPr fontId="5" type="noConversion"/>
  <conditionalFormatting sqref="AU3:FN7">
    <cfRule type="expression" dxfId="1" priority="1">
      <formula>AU$4="休"</formula>
    </cfRule>
    <cfRule type="expression" dxfId="0" priority="2">
      <formula>AU$4="节"</formula>
    </cfRule>
  </conditionalFormatting>
  <dataValidations count="2">
    <dataValidation type="whole" allowBlank="1" showInputMessage="1" showErrorMessage="1" sqref="E5" xr:uid="{00000000-0002-0000-0300-000000000000}">
      <formula1>1</formula1>
      <formula2>12</formula2>
    </dataValidation>
    <dataValidation type="list" allowBlank="1" showInputMessage="1" showErrorMessage="1" sqref="F10:F42" xr:uid="{00000000-0002-0000-0300-000001000000}">
      <formula1>"DEFAULT,CELL,COLUMN"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R3"/>
  <sheetViews>
    <sheetView workbookViewId="0">
      <pane ySplit="3" topLeftCell="A4" activePane="bottomLeft" state="frozen"/>
      <selection activeCell="N34" sqref="N34"/>
      <selection pane="bottomLeft" activeCell="C4" sqref="C4"/>
    </sheetView>
  </sheetViews>
  <sheetFormatPr defaultRowHeight="14.4" x14ac:dyDescent="0.25"/>
  <cols>
    <col min="1" max="1" width="2.88671875" customWidth="1"/>
    <col min="2" max="2" width="18.33203125" style="10" bestFit="1" customWidth="1"/>
    <col min="3" max="3" width="36.44140625" customWidth="1"/>
    <col min="4" max="4" width="19.6640625" customWidth="1"/>
    <col min="5" max="5" width="15.77734375" customWidth="1"/>
    <col min="6" max="6" width="9.88671875" customWidth="1"/>
    <col min="7" max="7" width="9.21875" customWidth="1"/>
    <col min="8" max="8" width="9.77734375" customWidth="1"/>
    <col min="9" max="9" width="11" customWidth="1"/>
  </cols>
  <sheetData>
    <row r="1" spans="1:18" hidden="1" x14ac:dyDescent="0.25">
      <c r="A1" s="58" t="s">
        <v>322</v>
      </c>
      <c r="B1" s="9" t="s">
        <v>28</v>
      </c>
      <c r="C1" s="1" t="s">
        <v>9</v>
      </c>
      <c r="D1" s="1" t="s">
        <v>15</v>
      </c>
      <c r="E1" s="9" t="s">
        <v>513</v>
      </c>
      <c r="F1" s="1" t="s">
        <v>509</v>
      </c>
      <c r="G1" s="1" t="s">
        <v>512</v>
      </c>
      <c r="H1" s="1" t="s">
        <v>510</v>
      </c>
      <c r="I1" s="1" t="s">
        <v>511</v>
      </c>
      <c r="J1" t="str">
        <f>IF(J3="","",J3)</f>
        <v>工号</v>
      </c>
      <c r="K1" t="str">
        <f t="shared" ref="K1:R1" si="0">IF(K3="","",K3)</f>
        <v>姓名</v>
      </c>
      <c r="L1" t="str">
        <f t="shared" si="0"/>
        <v>年份</v>
      </c>
      <c r="M1" t="str">
        <f t="shared" si="0"/>
        <v>月份</v>
      </c>
      <c r="N1" t="str">
        <f t="shared" si="0"/>
        <v/>
      </c>
      <c r="O1" t="str">
        <f t="shared" si="0"/>
        <v/>
      </c>
      <c r="P1" t="str">
        <f t="shared" si="0"/>
        <v/>
      </c>
      <c r="Q1" t="str">
        <f t="shared" si="0"/>
        <v/>
      </c>
      <c r="R1" t="str">
        <f t="shared" si="0"/>
        <v/>
      </c>
    </row>
    <row r="2" spans="1:18" hidden="1" x14ac:dyDescent="0.25">
      <c r="A2" s="58" t="s">
        <v>322</v>
      </c>
      <c r="B2" s="8" t="s">
        <v>322</v>
      </c>
    </row>
    <row r="3" spans="1:18" x14ac:dyDescent="0.25">
      <c r="A3" s="58" t="s">
        <v>322</v>
      </c>
      <c r="B3" s="9" t="s">
        <v>28</v>
      </c>
      <c r="C3" s="1" t="s">
        <v>9</v>
      </c>
      <c r="D3" s="1" t="s">
        <v>15</v>
      </c>
      <c r="E3" s="9" t="s">
        <v>601</v>
      </c>
      <c r="F3" s="1" t="s">
        <v>509</v>
      </c>
      <c r="G3" s="1" t="s">
        <v>512</v>
      </c>
      <c r="H3" s="1" t="s">
        <v>594</v>
      </c>
      <c r="I3" s="1" t="s">
        <v>595</v>
      </c>
      <c r="J3" t="s">
        <v>596</v>
      </c>
      <c r="K3" t="s">
        <v>597</v>
      </c>
      <c r="L3" t="s">
        <v>598</v>
      </c>
      <c r="M3" t="s">
        <v>599</v>
      </c>
    </row>
  </sheetData>
  <autoFilter ref="A3:R3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3"/>
  <sheetViews>
    <sheetView workbookViewId="0">
      <pane ySplit="3" topLeftCell="A4" activePane="bottomLeft" state="frozen"/>
      <selection activeCell="N34" sqref="N34"/>
      <selection pane="bottomLeft" activeCell="B3" sqref="B3"/>
    </sheetView>
  </sheetViews>
  <sheetFormatPr defaultRowHeight="14.4" x14ac:dyDescent="0.25"/>
  <cols>
    <col min="1" max="1" width="2.109375" customWidth="1"/>
    <col min="2" max="2" width="16.33203125" customWidth="1"/>
    <col min="3" max="3" width="30.88671875" customWidth="1"/>
    <col min="4" max="4" width="13.44140625" customWidth="1"/>
    <col min="5" max="5" width="17" customWidth="1"/>
    <col min="6" max="6" width="6.109375" customWidth="1"/>
    <col min="7" max="7" width="8.77734375" customWidth="1"/>
  </cols>
  <sheetData>
    <row r="1" spans="1:7" hidden="1" x14ac:dyDescent="0.25">
      <c r="A1" s="58" t="s">
        <v>322</v>
      </c>
      <c r="B1">
        <v>1</v>
      </c>
    </row>
    <row r="2" spans="1:7" hidden="1" x14ac:dyDescent="0.25">
      <c r="A2" s="58" t="s">
        <v>322</v>
      </c>
      <c r="B2">
        <v>2</v>
      </c>
    </row>
    <row r="3" spans="1:7" x14ac:dyDescent="0.25">
      <c r="A3" s="58" t="s">
        <v>322</v>
      </c>
      <c r="B3" s="1" t="s">
        <v>28</v>
      </c>
      <c r="C3" s="1" t="s">
        <v>9</v>
      </c>
      <c r="D3" s="1" t="s">
        <v>15</v>
      </c>
      <c r="E3" s="9" t="s">
        <v>514</v>
      </c>
      <c r="F3" s="1" t="s">
        <v>23</v>
      </c>
      <c r="G3" s="1" t="s">
        <v>24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Config</vt:lpstr>
      <vt:lpstr>ErrorLog</vt:lpstr>
      <vt:lpstr>FDExpDB(EXP_TC)</vt:lpstr>
      <vt:lpstr>FExpDB(EXP_EMP_TC)</vt:lpstr>
      <vt:lpstr>ImpLog(BySheet)</vt:lpstr>
      <vt:lpstr>ImpLog(ByRow)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2017-11-19T15:09:53Z</dcterms:modified>
</cp:coreProperties>
</file>